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\sgci\docs\datos\649-31382864\"/>
    </mc:Choice>
  </mc:AlternateContent>
  <xr:revisionPtr revIDLastSave="0" documentId="13_ncr:1_{6BA6723B-DD59-4022-9B27-7CA1F6D6B898}" xr6:coauthVersionLast="47" xr6:coauthVersionMax="47" xr10:uidLastSave="{00000000-0000-0000-0000-000000000000}"/>
  <bookViews>
    <workbookView xWindow="-120" yWindow="-120" windowWidth="29040" windowHeight="15720" xr2:uid="{FEA6EEB4-565A-4DF1-B6D6-64258D7DA9E0}"/>
  </bookViews>
  <sheets>
    <sheet name="Manifiesto" sheetId="2" r:id="rId1"/>
    <sheet name="CONSOLIDADO" sheetId="3" r:id="rId2"/>
    <sheet name="Hoja6" sheetId="9" r:id="rId3"/>
    <sheet name="Hoja5" sheetId="8" r:id="rId4"/>
    <sheet name="Hoja3" sheetId="6" r:id="rId5"/>
    <sheet name="Hoja1" sheetId="5" r:id="rId6"/>
    <sheet name="Hoja2" sheetId="4" r:id="rId7"/>
    <sheet name="Hoja4" sheetId="7" r:id="rId8"/>
  </sheets>
  <definedNames>
    <definedName name="_xlnm._FilterDatabase" localSheetId="1" hidden="1">CONSOLIDADO!$B$2:$W$309</definedName>
    <definedName name="_xlnm._FilterDatabase" localSheetId="3" hidden="1">Hoja5!$B$101:$C$101</definedName>
    <definedName name="_xlnm._FilterDatabase" localSheetId="0" hidden="1">Manifiesto!$A$6:$L$6</definedName>
    <definedName name="UBICACIONES">Tabla1[#All]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7" i="3" l="1"/>
  <c r="P157" i="3"/>
  <c r="O38" i="3"/>
  <c r="P38" i="3"/>
  <c r="O7" i="3"/>
  <c r="P7" i="3"/>
  <c r="O8" i="3"/>
  <c r="P8" i="3"/>
  <c r="O9" i="3"/>
  <c r="P9" i="3"/>
  <c r="O25" i="3"/>
  <c r="P25" i="3"/>
  <c r="O26" i="3"/>
  <c r="P26" i="3"/>
  <c r="O86" i="3"/>
  <c r="P86" i="3"/>
  <c r="O195" i="3"/>
  <c r="P195" i="3"/>
  <c r="O196" i="3"/>
  <c r="P196" i="3"/>
  <c r="O94" i="3"/>
  <c r="P94" i="3"/>
  <c r="O95" i="3"/>
  <c r="P95" i="3"/>
  <c r="O121" i="3"/>
  <c r="P121" i="3"/>
  <c r="O127" i="3"/>
  <c r="P127" i="3"/>
  <c r="O128" i="3"/>
  <c r="P128" i="3"/>
  <c r="O171" i="3"/>
  <c r="P171" i="3"/>
  <c r="O204" i="3"/>
  <c r="P204" i="3"/>
  <c r="O184" i="3"/>
  <c r="P184" i="3"/>
  <c r="O32" i="3"/>
  <c r="P32" i="3"/>
  <c r="O162" i="3"/>
  <c r="P162" i="3"/>
  <c r="O163" i="3"/>
  <c r="P163" i="3"/>
  <c r="O264" i="3"/>
  <c r="P264" i="3"/>
  <c r="O102" i="3"/>
  <c r="P102" i="3"/>
  <c r="O230" i="3"/>
  <c r="P230" i="3"/>
  <c r="O231" i="3"/>
  <c r="P231" i="3"/>
  <c r="O10" i="3"/>
  <c r="P10" i="3"/>
  <c r="O11" i="3"/>
  <c r="P11" i="3"/>
  <c r="O14" i="3"/>
  <c r="P14" i="3"/>
  <c r="O187" i="3"/>
  <c r="P187" i="3"/>
  <c r="O5" i="3"/>
  <c r="P5" i="3"/>
  <c r="O201" i="3"/>
  <c r="P201" i="3"/>
  <c r="O176" i="3"/>
  <c r="P176" i="3"/>
  <c r="O183" i="3"/>
  <c r="P183" i="3"/>
  <c r="O116" i="3"/>
  <c r="P116" i="3"/>
  <c r="O202" i="3"/>
  <c r="P202" i="3"/>
  <c r="O262" i="3"/>
  <c r="P262" i="3"/>
  <c r="O6" i="3"/>
  <c r="P6" i="3"/>
  <c r="O294" i="3"/>
  <c r="P294" i="3"/>
  <c r="O272" i="3"/>
  <c r="P272" i="3"/>
  <c r="O199" i="3"/>
  <c r="P199" i="3"/>
  <c r="O60" i="3"/>
  <c r="P60" i="3"/>
  <c r="O200" i="3"/>
  <c r="P200" i="3"/>
  <c r="O222" i="3"/>
  <c r="P222" i="3"/>
  <c r="O192" i="3"/>
  <c r="P192" i="3"/>
  <c r="O193" i="3"/>
  <c r="P193" i="3"/>
  <c r="O224" i="3"/>
  <c r="P224" i="3"/>
  <c r="O225" i="3"/>
  <c r="P225" i="3"/>
  <c r="O182" i="3"/>
  <c r="P182" i="3"/>
  <c r="O129" i="3"/>
  <c r="P129" i="3"/>
  <c r="O214" i="3"/>
  <c r="P214" i="3"/>
  <c r="O118" i="3"/>
  <c r="P118" i="3"/>
  <c r="O55" i="3"/>
  <c r="P55" i="3"/>
  <c r="O212" i="3"/>
  <c r="P212" i="3"/>
  <c r="O276" i="3"/>
  <c r="P276" i="3"/>
  <c r="O104" i="3"/>
  <c r="P104" i="3"/>
  <c r="O98" i="3"/>
  <c r="P98" i="3"/>
  <c r="O213" i="3"/>
  <c r="P213" i="3"/>
  <c r="O90" i="3"/>
  <c r="P90" i="3"/>
  <c r="O91" i="3"/>
  <c r="P91" i="3"/>
  <c r="O205" i="3"/>
  <c r="P205" i="3"/>
  <c r="O206" i="3"/>
  <c r="P206" i="3"/>
  <c r="O185" i="3"/>
  <c r="P185" i="3"/>
  <c r="O297" i="3"/>
  <c r="P297" i="3"/>
  <c r="O273" i="3"/>
  <c r="P273" i="3"/>
  <c r="O211" i="3"/>
  <c r="P211" i="3"/>
  <c r="O92" i="3"/>
  <c r="P92" i="3"/>
  <c r="O93" i="3"/>
  <c r="P93" i="3"/>
  <c r="O28" i="3"/>
  <c r="P28" i="3"/>
  <c r="O29" i="3"/>
  <c r="P29" i="3"/>
  <c r="O130" i="3"/>
  <c r="P130" i="3"/>
  <c r="O81" i="3"/>
  <c r="P81" i="3"/>
  <c r="O30" i="3"/>
  <c r="P30" i="3"/>
  <c r="O144" i="3"/>
  <c r="P144" i="3"/>
  <c r="O82" i="3"/>
  <c r="P82" i="3"/>
  <c r="O147" i="3"/>
  <c r="P147" i="3"/>
  <c r="O61" i="3"/>
  <c r="P61" i="3"/>
  <c r="O260" i="3"/>
  <c r="P260" i="3"/>
  <c r="O269" i="3"/>
  <c r="P269" i="3"/>
  <c r="O145" i="3"/>
  <c r="P145" i="3"/>
  <c r="O164" i="3"/>
  <c r="P164" i="3"/>
  <c r="O292" i="3"/>
  <c r="P292" i="3"/>
  <c r="O12" i="3"/>
  <c r="P12" i="3"/>
  <c r="O236" i="3"/>
  <c r="P236" i="3"/>
  <c r="O87" i="3"/>
  <c r="P87" i="3"/>
  <c r="O237" i="3"/>
  <c r="P237" i="3"/>
  <c r="O210" i="3"/>
  <c r="P210" i="3"/>
  <c r="O278" i="3"/>
  <c r="P278" i="3"/>
  <c r="O105" i="3"/>
  <c r="P105" i="3"/>
  <c r="O106" i="3"/>
  <c r="P106" i="3"/>
  <c r="O261" i="3"/>
  <c r="P261" i="3"/>
  <c r="O78" i="3"/>
  <c r="P78" i="3"/>
  <c r="O124" i="3"/>
  <c r="P124" i="3"/>
  <c r="O126" i="3"/>
  <c r="P126" i="3"/>
  <c r="O208" i="3"/>
  <c r="P208" i="3"/>
  <c r="O45" i="3"/>
  <c r="P45" i="3"/>
  <c r="O46" i="3"/>
  <c r="P46" i="3"/>
  <c r="O58" i="3"/>
  <c r="P58" i="3"/>
  <c r="O59" i="3"/>
  <c r="P59" i="3"/>
  <c r="O277" i="3"/>
  <c r="P277" i="3"/>
  <c r="O3" i="3"/>
  <c r="P3" i="3"/>
  <c r="O226" i="3"/>
  <c r="P226" i="3"/>
  <c r="O153" i="3"/>
  <c r="P153" i="3"/>
  <c r="O13" i="3"/>
  <c r="P13" i="3"/>
  <c r="O33" i="3"/>
  <c r="P33" i="3"/>
  <c r="O291" i="3"/>
  <c r="P291" i="3"/>
  <c r="O103" i="3"/>
  <c r="P103" i="3"/>
  <c r="O268" i="3"/>
  <c r="P268" i="3"/>
  <c r="O36" i="3"/>
  <c r="P36" i="3"/>
  <c r="O37" i="3"/>
  <c r="P37" i="3"/>
  <c r="O282" i="3"/>
  <c r="P282" i="3"/>
  <c r="O148" i="3"/>
  <c r="P148" i="3"/>
  <c r="O149" i="3"/>
  <c r="P149" i="3"/>
  <c r="O303" i="3"/>
  <c r="P303" i="3"/>
  <c r="O177" i="3"/>
  <c r="P177" i="3"/>
  <c r="O179" i="3"/>
  <c r="P179" i="3"/>
  <c r="O180" i="3"/>
  <c r="P180" i="3"/>
  <c r="O181" i="3"/>
  <c r="P181" i="3"/>
  <c r="O254" i="3"/>
  <c r="P254" i="3"/>
  <c r="O100" i="3"/>
  <c r="P100" i="3"/>
  <c r="O267" i="3"/>
  <c r="P267" i="3"/>
  <c r="O155" i="3"/>
  <c r="P155" i="3"/>
  <c r="O156" i="3"/>
  <c r="P156" i="3"/>
  <c r="O244" i="3"/>
  <c r="P244" i="3"/>
  <c r="O245" i="3"/>
  <c r="P245" i="3"/>
  <c r="O246" i="3"/>
  <c r="P246" i="3"/>
  <c r="O247" i="3"/>
  <c r="P247" i="3"/>
  <c r="O228" i="3"/>
  <c r="P228" i="3"/>
  <c r="O112" i="3"/>
  <c r="P112" i="3"/>
  <c r="O140" i="3"/>
  <c r="P140" i="3"/>
  <c r="O113" i="3"/>
  <c r="P113" i="3"/>
  <c r="O31" i="3"/>
  <c r="P31" i="3"/>
  <c r="O280" i="3"/>
  <c r="P280" i="3"/>
  <c r="O281" i="3"/>
  <c r="P281" i="3"/>
  <c r="O263" i="3"/>
  <c r="P263" i="3"/>
  <c r="O172" i="3"/>
  <c r="P172" i="3"/>
  <c r="O259" i="3"/>
  <c r="P259" i="3"/>
  <c r="O151" i="3"/>
  <c r="P151" i="3"/>
  <c r="O242" i="3"/>
  <c r="P242" i="3"/>
  <c r="O154" i="3"/>
  <c r="P154" i="3"/>
  <c r="O234" i="3"/>
  <c r="P234" i="3"/>
  <c r="O235" i="3"/>
  <c r="P235" i="3"/>
  <c r="O175" i="3"/>
  <c r="P175" i="3"/>
  <c r="O257" i="3"/>
  <c r="P257" i="3"/>
  <c r="O258" i="3"/>
  <c r="P258" i="3"/>
  <c r="O158" i="3"/>
  <c r="P158" i="3"/>
  <c r="O159" i="3"/>
  <c r="P159" i="3"/>
  <c r="O217" i="3"/>
  <c r="P217" i="3"/>
  <c r="O152" i="3"/>
  <c r="P152" i="3"/>
  <c r="O47" i="3"/>
  <c r="P47" i="3"/>
  <c r="O48" i="3"/>
  <c r="P48" i="3"/>
  <c r="O229" i="3"/>
  <c r="P229" i="3"/>
  <c r="O137" i="3"/>
  <c r="P137" i="3"/>
  <c r="O223" i="3"/>
  <c r="P223" i="3"/>
  <c r="O188" i="3"/>
  <c r="P188" i="3"/>
  <c r="O117" i="3"/>
  <c r="P117" i="3"/>
  <c r="O135" i="3"/>
  <c r="P135" i="3"/>
  <c r="O207" i="3"/>
  <c r="P207" i="3"/>
  <c r="O239" i="3"/>
  <c r="P239" i="3"/>
  <c r="O89" i="3"/>
  <c r="P89" i="3"/>
  <c r="O41" i="3"/>
  <c r="P41" i="3"/>
  <c r="O42" i="3"/>
  <c r="P42" i="3"/>
  <c r="O43" i="3"/>
  <c r="P43" i="3"/>
  <c r="O44" i="3"/>
  <c r="P44" i="3"/>
  <c r="O252" i="3"/>
  <c r="P252" i="3"/>
  <c r="O253" i="3"/>
  <c r="P253" i="3"/>
  <c r="O139" i="3"/>
  <c r="P139" i="3"/>
  <c r="O170" i="3"/>
  <c r="P170" i="3"/>
  <c r="O74" i="3"/>
  <c r="P74" i="3"/>
  <c r="O75" i="3"/>
  <c r="P75" i="3"/>
  <c r="O76" i="3"/>
  <c r="P76" i="3"/>
  <c r="O122" i="3"/>
  <c r="P122" i="3"/>
  <c r="O123" i="3"/>
  <c r="P123" i="3"/>
  <c r="O299" i="3"/>
  <c r="P299" i="3"/>
  <c r="O300" i="3"/>
  <c r="P300" i="3"/>
  <c r="O279" i="3"/>
  <c r="P279" i="3"/>
  <c r="O96" i="3"/>
  <c r="P96" i="3"/>
  <c r="O97" i="3"/>
  <c r="P97" i="3"/>
  <c r="O53" i="3"/>
  <c r="P53" i="3"/>
  <c r="O54" i="3"/>
  <c r="P54" i="3"/>
  <c r="O83" i="3"/>
  <c r="P83" i="3"/>
  <c r="O107" i="3"/>
  <c r="P107" i="3"/>
  <c r="O108" i="3"/>
  <c r="P108" i="3"/>
  <c r="O307" i="3"/>
  <c r="P307" i="3"/>
  <c r="O308" i="3"/>
  <c r="P308" i="3"/>
  <c r="O161" i="3"/>
  <c r="P161" i="3"/>
  <c r="O66" i="3"/>
  <c r="P66" i="3"/>
  <c r="O67" i="3"/>
  <c r="P67" i="3"/>
  <c r="O80" i="3"/>
  <c r="P80" i="3"/>
  <c r="O189" i="3"/>
  <c r="P189" i="3"/>
  <c r="O190" i="3"/>
  <c r="P190" i="3"/>
  <c r="O125" i="3"/>
  <c r="P125" i="3"/>
  <c r="O305" i="3"/>
  <c r="P305" i="3"/>
  <c r="O138" i="3"/>
  <c r="P138" i="3"/>
  <c r="O150" i="3"/>
  <c r="P150" i="3"/>
  <c r="O65" i="3"/>
  <c r="P65" i="3"/>
  <c r="O165" i="3"/>
  <c r="P165" i="3"/>
  <c r="O166" i="3"/>
  <c r="P166" i="3"/>
  <c r="O167" i="3"/>
  <c r="P167" i="3"/>
  <c r="O287" i="3"/>
  <c r="P287" i="3"/>
  <c r="O288" i="3"/>
  <c r="P288" i="3"/>
  <c r="O289" i="3"/>
  <c r="P289" i="3"/>
  <c r="O255" i="3"/>
  <c r="P255" i="3"/>
  <c r="O256" i="3"/>
  <c r="P256" i="3"/>
  <c r="O136" i="3"/>
  <c r="P136" i="3"/>
  <c r="O302" i="3"/>
  <c r="P302" i="3"/>
  <c r="O160" i="3"/>
  <c r="P160" i="3"/>
  <c r="O251" i="3"/>
  <c r="P251" i="3"/>
  <c r="O142" i="3"/>
  <c r="P142" i="3"/>
  <c r="O143" i="3"/>
  <c r="P143" i="3"/>
  <c r="O168" i="3"/>
  <c r="P168" i="3"/>
  <c r="O131" i="3"/>
  <c r="P131" i="3"/>
  <c r="O132" i="3"/>
  <c r="P132" i="3"/>
  <c r="O178" i="3"/>
  <c r="P178" i="3"/>
  <c r="O146" i="3"/>
  <c r="P146" i="3"/>
  <c r="O290" i="3"/>
  <c r="P290" i="3"/>
  <c r="O101" i="3"/>
  <c r="P101" i="3"/>
  <c r="O248" i="3"/>
  <c r="P248" i="3"/>
  <c r="O4" i="3"/>
  <c r="P4" i="3"/>
  <c r="O119" i="3"/>
  <c r="P119" i="3"/>
  <c r="O120" i="3"/>
  <c r="P120" i="3"/>
  <c r="O34" i="3"/>
  <c r="P34" i="3"/>
  <c r="O68" i="3"/>
  <c r="P68" i="3"/>
  <c r="O69" i="3"/>
  <c r="P69" i="3"/>
  <c r="O240" i="3"/>
  <c r="P240" i="3"/>
  <c r="O241" i="3"/>
  <c r="P241" i="3"/>
  <c r="O133" i="3"/>
  <c r="P133" i="3"/>
  <c r="O134" i="3"/>
  <c r="P134" i="3"/>
  <c r="O50" i="3"/>
  <c r="P50" i="3"/>
  <c r="O63" i="3"/>
  <c r="P63" i="3"/>
  <c r="O186" i="3"/>
  <c r="P186" i="3"/>
  <c r="O56" i="3"/>
  <c r="P56" i="3"/>
  <c r="O57" i="3"/>
  <c r="P57" i="3"/>
  <c r="O88" i="3"/>
  <c r="P88" i="3"/>
  <c r="O215" i="3"/>
  <c r="P215" i="3"/>
  <c r="O216" i="3"/>
  <c r="P216" i="3"/>
  <c r="O85" i="3"/>
  <c r="P85" i="3"/>
  <c r="O295" i="3"/>
  <c r="P295" i="3"/>
  <c r="O169" i="3"/>
  <c r="P169" i="3"/>
  <c r="O27" i="3"/>
  <c r="P27" i="3"/>
  <c r="O35" i="3"/>
  <c r="P35" i="3"/>
  <c r="O285" i="3"/>
  <c r="P285" i="3"/>
  <c r="O286" i="3"/>
  <c r="P286" i="3"/>
  <c r="O271" i="3"/>
  <c r="P271" i="3"/>
  <c r="O270" i="3"/>
  <c r="P270" i="3"/>
  <c r="O197" i="3"/>
  <c r="P197" i="3"/>
  <c r="O198" i="3"/>
  <c r="P198" i="3"/>
  <c r="O249" i="3"/>
  <c r="P249" i="3"/>
  <c r="O250" i="3"/>
  <c r="P250" i="3"/>
  <c r="O70" i="3"/>
  <c r="P70" i="3"/>
  <c r="O71" i="3"/>
  <c r="P71" i="3"/>
  <c r="O304" i="3"/>
  <c r="P304" i="3"/>
  <c r="O301" i="3"/>
  <c r="P301" i="3"/>
  <c r="O232" i="3"/>
  <c r="P232" i="3"/>
  <c r="O233" i="3"/>
  <c r="P233" i="3"/>
  <c r="O99" i="3"/>
  <c r="P99" i="3"/>
  <c r="O39" i="3"/>
  <c r="P39" i="3"/>
  <c r="O40" i="3"/>
  <c r="P40" i="3"/>
  <c r="O77" i="3"/>
  <c r="P77" i="3"/>
  <c r="O51" i="3"/>
  <c r="P51" i="3"/>
  <c r="O141" i="3"/>
  <c r="P141" i="3"/>
  <c r="O84" i="3"/>
  <c r="P84" i="3"/>
  <c r="O52" i="3"/>
  <c r="P52" i="3"/>
  <c r="O306" i="3"/>
  <c r="P306" i="3"/>
  <c r="O243" i="3"/>
  <c r="P243" i="3"/>
  <c r="O218" i="3"/>
  <c r="P218" i="3"/>
  <c r="O219" i="3"/>
  <c r="P219" i="3"/>
  <c r="O194" i="3"/>
  <c r="P194" i="3"/>
  <c r="O298" i="3"/>
  <c r="P298" i="3"/>
  <c r="O49" i="3"/>
  <c r="P49" i="3"/>
  <c r="O296" i="3"/>
  <c r="P296" i="3"/>
  <c r="O114" i="3"/>
  <c r="P114" i="3"/>
  <c r="O115" i="3"/>
  <c r="P115" i="3"/>
  <c r="O209" i="3"/>
  <c r="P209" i="3"/>
  <c r="O191" i="3"/>
  <c r="P191" i="3"/>
  <c r="O238" i="3"/>
  <c r="P238" i="3"/>
  <c r="O72" i="3"/>
  <c r="P72" i="3"/>
  <c r="O73" i="3"/>
  <c r="P73" i="3"/>
  <c r="O62" i="3"/>
  <c r="P62" i="3"/>
  <c r="O64" i="3"/>
  <c r="P64" i="3"/>
  <c r="O24" i="3"/>
  <c r="P24" i="3"/>
  <c r="O79" i="3"/>
  <c r="P79" i="3"/>
  <c r="O227" i="3"/>
  <c r="P227" i="3"/>
  <c r="O173" i="3"/>
  <c r="P173" i="3"/>
  <c r="O274" i="3"/>
  <c r="P274" i="3"/>
  <c r="O293" i="3"/>
  <c r="P293" i="3"/>
  <c r="O275" i="3"/>
  <c r="P275" i="3"/>
  <c r="O19" i="3"/>
  <c r="P19" i="3"/>
  <c r="O17" i="3"/>
  <c r="P17" i="3"/>
  <c r="O18" i="3"/>
  <c r="P18" i="3"/>
  <c r="O203" i="3"/>
  <c r="P203" i="3"/>
  <c r="O265" i="3"/>
  <c r="P265" i="3"/>
  <c r="O266" i="3"/>
  <c r="P266" i="3"/>
  <c r="O15" i="3"/>
  <c r="P15" i="3"/>
  <c r="O16" i="3"/>
  <c r="P16" i="3"/>
  <c r="O283" i="3"/>
  <c r="P283" i="3"/>
  <c r="O284" i="3"/>
  <c r="P284" i="3"/>
  <c r="O20" i="3"/>
  <c r="P20" i="3"/>
  <c r="O21" i="3"/>
  <c r="P21" i="3"/>
  <c r="O22" i="3"/>
  <c r="P22" i="3"/>
  <c r="O23" i="3"/>
  <c r="P23" i="3"/>
  <c r="O109" i="3"/>
  <c r="P109" i="3"/>
  <c r="O110" i="3"/>
  <c r="P110" i="3"/>
  <c r="O111" i="3"/>
  <c r="P111" i="3"/>
  <c r="O174" i="3"/>
  <c r="P174" i="3"/>
  <c r="O220" i="3"/>
  <c r="P220" i="3"/>
  <c r="O221" i="3"/>
  <c r="P221" i="3"/>
  <c r="C95" i="3"/>
  <c r="C157" i="3"/>
  <c r="C38" i="3"/>
  <c r="C7" i="3"/>
  <c r="C8" i="3"/>
  <c r="C9" i="3"/>
  <c r="C25" i="3"/>
  <c r="C26" i="3"/>
  <c r="C86" i="3"/>
  <c r="C195" i="3"/>
  <c r="C196" i="3"/>
  <c r="C121" i="3"/>
  <c r="C204" i="3"/>
  <c r="C127" i="3"/>
  <c r="C128" i="3"/>
  <c r="C171" i="3"/>
  <c r="C184" i="3"/>
  <c r="C102" i="3"/>
  <c r="C32" i="3"/>
  <c r="C162" i="3"/>
  <c r="C163" i="3"/>
  <c r="C264" i="3"/>
  <c r="C201" i="3"/>
  <c r="C183" i="3"/>
  <c r="C116" i="3"/>
  <c r="C202" i="3"/>
  <c r="C262" i="3"/>
  <c r="C176" i="3"/>
  <c r="C230" i="3"/>
  <c r="C231" i="3"/>
  <c r="C14" i="3"/>
  <c r="C10" i="3"/>
  <c r="C11" i="3"/>
  <c r="C187" i="3"/>
  <c r="C5" i="3"/>
  <c r="C214" i="3"/>
  <c r="C182" i="3"/>
  <c r="C129" i="3"/>
  <c r="C118" i="3"/>
  <c r="C55" i="3"/>
  <c r="C6" i="3"/>
  <c r="C294" i="3"/>
  <c r="C272" i="3"/>
  <c r="C199" i="3"/>
  <c r="C60" i="3"/>
  <c r="C200" i="3"/>
  <c r="C222" i="3"/>
  <c r="C192" i="3"/>
  <c r="C193" i="3"/>
  <c r="C224" i="3"/>
  <c r="C225" i="3"/>
  <c r="C90" i="3"/>
  <c r="C91" i="3"/>
  <c r="C205" i="3"/>
  <c r="C206" i="3"/>
  <c r="C273" i="3"/>
  <c r="C103" i="3"/>
  <c r="C268" i="3"/>
  <c r="C149" i="3"/>
  <c r="C212" i="3"/>
  <c r="C213" i="3"/>
  <c r="C282" i="3"/>
  <c r="C148" i="3"/>
  <c r="C276" i="3"/>
  <c r="C36" i="3"/>
  <c r="C37" i="3"/>
  <c r="C104" i="3"/>
  <c r="C98" i="3"/>
  <c r="C185" i="3"/>
  <c r="C297" i="3"/>
  <c r="C13" i="3"/>
  <c r="C33" i="3"/>
  <c r="C291" i="3"/>
  <c r="C153" i="3"/>
  <c r="C211" i="3"/>
  <c r="C92" i="3"/>
  <c r="C93" i="3"/>
  <c r="C28" i="3"/>
  <c r="C29" i="3"/>
  <c r="C30" i="3"/>
  <c r="C130" i="3"/>
  <c r="C81" i="3"/>
  <c r="C144" i="3"/>
  <c r="C82" i="3"/>
  <c r="C147" i="3"/>
  <c r="C61" i="3"/>
  <c r="C260" i="3"/>
  <c r="C269" i="3"/>
  <c r="C145" i="3"/>
  <c r="C164" i="3"/>
  <c r="C292" i="3"/>
  <c r="C12" i="3"/>
  <c r="C236" i="3"/>
  <c r="C87" i="3"/>
  <c r="C237" i="3"/>
  <c r="C210" i="3"/>
  <c r="C278" i="3"/>
  <c r="C105" i="3"/>
  <c r="C106" i="3"/>
  <c r="C261" i="3"/>
  <c r="C78" i="3"/>
  <c r="C124" i="3"/>
  <c r="C126" i="3"/>
  <c r="C208" i="3"/>
  <c r="C45" i="3"/>
  <c r="C46" i="3"/>
  <c r="C58" i="3"/>
  <c r="C59" i="3"/>
  <c r="C277" i="3"/>
  <c r="C3" i="3"/>
  <c r="C226" i="3"/>
  <c r="C100" i="3"/>
  <c r="C267" i="3"/>
  <c r="C156" i="3"/>
  <c r="C228" i="3"/>
  <c r="C112" i="3"/>
  <c r="C151" i="3"/>
  <c r="C242" i="3"/>
  <c r="C154" i="3"/>
  <c r="C235" i="3"/>
  <c r="C175" i="3"/>
  <c r="C257" i="3"/>
  <c r="C258" i="3"/>
  <c r="C244" i="3"/>
  <c r="C245" i="3"/>
  <c r="C246" i="3"/>
  <c r="C140" i="3"/>
  <c r="C113" i="3"/>
  <c r="C31" i="3"/>
  <c r="C177" i="3"/>
  <c r="C303" i="3"/>
  <c r="C234" i="3"/>
  <c r="C247" i="3"/>
  <c r="C280" i="3"/>
  <c r="C281" i="3"/>
  <c r="C263" i="3"/>
  <c r="C179" i="3"/>
  <c r="C180" i="3"/>
  <c r="C181" i="3"/>
  <c r="C254" i="3"/>
  <c r="C155" i="3"/>
  <c r="C172" i="3"/>
  <c r="C259" i="3"/>
  <c r="C152" i="3"/>
  <c r="C217" i="3"/>
  <c r="C158" i="3"/>
  <c r="C159" i="3"/>
  <c r="C47" i="3"/>
  <c r="C48" i="3"/>
  <c r="C229" i="3"/>
  <c r="C188" i="3"/>
  <c r="C189" i="3"/>
  <c r="C190" i="3"/>
  <c r="C137" i="3"/>
  <c r="C70" i="3"/>
  <c r="C71" i="3"/>
  <c r="C223" i="3"/>
  <c r="C80" i="3"/>
  <c r="C125" i="3"/>
  <c r="C305" i="3"/>
  <c r="C138" i="3"/>
  <c r="C307" i="3"/>
  <c r="C308" i="3"/>
  <c r="C74" i="3"/>
  <c r="C75" i="3"/>
  <c r="C76" i="3"/>
  <c r="C122" i="3"/>
  <c r="C123" i="3"/>
  <c r="C68" i="3"/>
  <c r="C69" i="3"/>
  <c r="C135" i="3"/>
  <c r="C107" i="3"/>
  <c r="C108" i="3"/>
  <c r="C66" i="3"/>
  <c r="C67" i="3"/>
  <c r="C139" i="3"/>
  <c r="C207" i="3"/>
  <c r="C299" i="3"/>
  <c r="C300" i="3"/>
  <c r="C239" i="3"/>
  <c r="C117" i="3"/>
  <c r="C279" i="3"/>
  <c r="C161" i="3"/>
  <c r="C89" i="3"/>
  <c r="C96" i="3"/>
  <c r="C97" i="3"/>
  <c r="C53" i="3"/>
  <c r="C54" i="3"/>
  <c r="C83" i="3"/>
  <c r="C41" i="3"/>
  <c r="C42" i="3"/>
  <c r="C43" i="3"/>
  <c r="C44" i="3"/>
  <c r="C170" i="3"/>
  <c r="C252" i="3"/>
  <c r="C253" i="3"/>
  <c r="C287" i="3"/>
  <c r="C288" i="3"/>
  <c r="C289" i="3"/>
  <c r="C65" i="3"/>
  <c r="C150" i="3"/>
  <c r="C165" i="3"/>
  <c r="C166" i="3"/>
  <c r="C167" i="3"/>
  <c r="C186" i="3"/>
  <c r="C255" i="3"/>
  <c r="C256" i="3"/>
  <c r="C136" i="3"/>
  <c r="C302" i="3"/>
  <c r="C160" i="3"/>
  <c r="C251" i="3"/>
  <c r="C142" i="3"/>
  <c r="C143" i="3"/>
  <c r="C168" i="3"/>
  <c r="C131" i="3"/>
  <c r="C132" i="3"/>
  <c r="C178" i="3"/>
  <c r="C146" i="3"/>
  <c r="C290" i="3"/>
  <c r="C101" i="3"/>
  <c r="C248" i="3"/>
  <c r="C4" i="3"/>
  <c r="C119" i="3"/>
  <c r="C120" i="3"/>
  <c r="C34" i="3"/>
  <c r="C240" i="3"/>
  <c r="C241" i="3"/>
  <c r="C133" i="3"/>
  <c r="C134" i="3"/>
  <c r="C50" i="3"/>
  <c r="C63" i="3"/>
  <c r="C56" i="3"/>
  <c r="C57" i="3"/>
  <c r="C88" i="3"/>
  <c r="C215" i="3"/>
  <c r="C216" i="3"/>
  <c r="C295" i="3"/>
  <c r="C169" i="3"/>
  <c r="C27" i="3"/>
  <c r="C271" i="3"/>
  <c r="C249" i="3"/>
  <c r="C250" i="3"/>
  <c r="C304" i="3"/>
  <c r="C301" i="3"/>
  <c r="C232" i="3"/>
  <c r="C233" i="3"/>
  <c r="C99" i="3"/>
  <c r="C39" i="3"/>
  <c r="C40" i="3"/>
  <c r="C77" i="3"/>
  <c r="C51" i="3"/>
  <c r="C141" i="3"/>
  <c r="C270" i="3"/>
  <c r="C84" i="3"/>
  <c r="C218" i="3"/>
  <c r="C219" i="3"/>
  <c r="C52" i="3"/>
  <c r="C306" i="3"/>
  <c r="C197" i="3"/>
  <c r="C35" i="3"/>
  <c r="C285" i="3"/>
  <c r="C286" i="3"/>
  <c r="C198" i="3"/>
  <c r="C85" i="3"/>
  <c r="C243" i="3"/>
  <c r="C194" i="3"/>
  <c r="C298" i="3"/>
  <c r="C209" i="3"/>
  <c r="C49" i="3"/>
  <c r="C296" i="3"/>
  <c r="C191" i="3"/>
  <c r="C114" i="3"/>
  <c r="C115" i="3"/>
  <c r="C238" i="3"/>
  <c r="C24" i="3"/>
  <c r="C79" i="3"/>
  <c r="C227" i="3"/>
  <c r="C173" i="3"/>
  <c r="C274" i="3"/>
  <c r="C293" i="3"/>
  <c r="C275" i="3"/>
  <c r="C19" i="3"/>
  <c r="C17" i="3"/>
  <c r="C18" i="3"/>
  <c r="C203" i="3"/>
  <c r="C265" i="3"/>
  <c r="C266" i="3"/>
  <c r="C15" i="3"/>
  <c r="C16" i="3"/>
  <c r="C283" i="3"/>
  <c r="C284" i="3"/>
  <c r="C20" i="3"/>
  <c r="C21" i="3"/>
  <c r="C22" i="3"/>
  <c r="C23" i="3"/>
  <c r="C109" i="3"/>
  <c r="C110" i="3"/>
  <c r="C111" i="3"/>
  <c r="C174" i="3"/>
  <c r="C220" i="3"/>
  <c r="C221" i="3"/>
  <c r="C72" i="3"/>
  <c r="C73" i="3"/>
  <c r="C62" i="3"/>
  <c r="C64" i="3"/>
  <c r="C94" i="3"/>
  <c r="V228" i="3"/>
  <c r="V112" i="3"/>
  <c r="V184" i="3"/>
  <c r="V204" i="3"/>
  <c r="V104" i="3"/>
  <c r="V98" i="3"/>
  <c r="V79" i="3"/>
  <c r="V212" i="3"/>
  <c r="V213" i="3"/>
  <c r="V194" i="3"/>
  <c r="V150" i="3"/>
  <c r="V217" i="3"/>
  <c r="V90" i="3"/>
  <c r="V91" i="3"/>
  <c r="V65" i="3"/>
  <c r="V205" i="3"/>
  <c r="V206" i="3"/>
  <c r="V257" i="3"/>
  <c r="V258" i="3"/>
  <c r="V165" i="3"/>
  <c r="V166" i="3"/>
  <c r="V167" i="3"/>
  <c r="V94" i="3"/>
  <c r="V95" i="3"/>
  <c r="V137" i="3"/>
  <c r="V173" i="3"/>
  <c r="V249" i="3"/>
  <c r="V250" i="3"/>
  <c r="V227" i="3"/>
  <c r="V287" i="3"/>
  <c r="V288" i="3"/>
  <c r="V289" i="3"/>
  <c r="V201" i="3"/>
  <c r="V273" i="3"/>
  <c r="V182" i="3"/>
  <c r="V185" i="3"/>
  <c r="V297" i="3"/>
  <c r="V274" i="3"/>
  <c r="V153" i="3"/>
  <c r="V293" i="3"/>
  <c r="V129" i="3"/>
  <c r="V304" i="3"/>
  <c r="V13" i="3"/>
  <c r="V33" i="3"/>
  <c r="V56" i="3"/>
  <c r="V57" i="3"/>
  <c r="V223" i="3"/>
  <c r="V291" i="3"/>
  <c r="V267" i="3"/>
  <c r="V100" i="3"/>
  <c r="V188" i="3"/>
  <c r="V214" i="3"/>
  <c r="V118" i="3"/>
  <c r="V88" i="3"/>
  <c r="V298" i="3"/>
  <c r="V235" i="3"/>
  <c r="V175" i="3"/>
  <c r="V176" i="3"/>
  <c r="V271" i="3"/>
  <c r="V55" i="3"/>
  <c r="V80" i="3"/>
  <c r="V275" i="3"/>
  <c r="V121" i="3"/>
  <c r="V151" i="3"/>
  <c r="V189" i="3"/>
  <c r="V190" i="3"/>
  <c r="V125" i="3"/>
  <c r="V103" i="3"/>
  <c r="V156" i="3"/>
  <c r="V305" i="3"/>
  <c r="V268" i="3"/>
  <c r="V19" i="3"/>
  <c r="V215" i="3"/>
  <c r="V216" i="3"/>
  <c r="V183" i="3"/>
  <c r="V186" i="3"/>
  <c r="V152" i="3"/>
  <c r="V301" i="3"/>
  <c r="V116" i="3"/>
  <c r="V202" i="3"/>
  <c r="V138" i="3"/>
  <c r="V36" i="3"/>
  <c r="V37" i="3"/>
  <c r="V242" i="3"/>
  <c r="V17" i="3"/>
  <c r="V18" i="3"/>
  <c r="V203" i="3"/>
  <c r="V282" i="3"/>
  <c r="V148" i="3"/>
  <c r="V24" i="3"/>
  <c r="V102" i="3"/>
  <c r="V295" i="3"/>
  <c r="V169" i="3"/>
  <c r="V27" i="3"/>
  <c r="V154" i="3"/>
  <c r="V262" i="3"/>
  <c r="V149" i="3"/>
  <c r="V255" i="3"/>
  <c r="V256" i="3"/>
  <c r="V127" i="3"/>
  <c r="V128" i="3"/>
  <c r="V6" i="3"/>
  <c r="V307" i="3"/>
  <c r="V308" i="3"/>
  <c r="V244" i="3"/>
  <c r="V245" i="3"/>
  <c r="V246" i="3"/>
  <c r="V74" i="3"/>
  <c r="V75" i="3"/>
  <c r="V76" i="3"/>
  <c r="V211" i="3"/>
  <c r="V294" i="3"/>
  <c r="V122" i="3"/>
  <c r="V123" i="3"/>
  <c r="V158" i="3"/>
  <c r="V159" i="3"/>
  <c r="V136" i="3"/>
  <c r="V302" i="3"/>
  <c r="V160" i="3"/>
  <c r="V92" i="3"/>
  <c r="V93" i="3"/>
  <c r="V251" i="3"/>
  <c r="V28" i="3"/>
  <c r="V29" i="3"/>
  <c r="V30" i="3"/>
  <c r="V130" i="3"/>
  <c r="V232" i="3"/>
  <c r="V233" i="3"/>
  <c r="V140" i="3"/>
  <c r="V113" i="3"/>
  <c r="V31" i="3"/>
  <c r="V177" i="3"/>
  <c r="V272" i="3"/>
  <c r="V99" i="3"/>
  <c r="V142" i="3"/>
  <c r="V143" i="3"/>
  <c r="V32" i="3"/>
  <c r="V209" i="3"/>
  <c r="V49" i="3"/>
  <c r="V265" i="3"/>
  <c r="V266" i="3"/>
  <c r="V168" i="3"/>
  <c r="V15" i="3"/>
  <c r="V16" i="3"/>
  <c r="V81" i="3"/>
  <c r="V39" i="3"/>
  <c r="V40" i="3"/>
  <c r="V230" i="3"/>
  <c r="V231" i="3"/>
  <c r="V162" i="3"/>
  <c r="V163" i="3"/>
  <c r="V144" i="3"/>
  <c r="V199" i="3"/>
  <c r="V283" i="3"/>
  <c r="V284" i="3"/>
  <c r="V303" i="3"/>
  <c r="V131" i="3"/>
  <c r="V132" i="3"/>
  <c r="V296" i="3"/>
  <c r="V178" i="3"/>
  <c r="V135" i="3"/>
  <c r="V82" i="3"/>
  <c r="V77" i="3"/>
  <c r="V51" i="3"/>
  <c r="V14" i="3"/>
  <c r="V107" i="3"/>
  <c r="V108" i="3"/>
  <c r="V66" i="3"/>
  <c r="V67" i="3"/>
  <c r="V139" i="3"/>
  <c r="V207" i="3"/>
  <c r="V299" i="3"/>
  <c r="V300" i="3"/>
  <c r="V239" i="3"/>
  <c r="V117" i="3"/>
  <c r="V279" i="3"/>
  <c r="V146" i="3"/>
  <c r="V141" i="3"/>
  <c r="V161" i="3"/>
  <c r="V147" i="3"/>
  <c r="V234" i="3"/>
  <c r="V20" i="3"/>
  <c r="V21" i="3"/>
  <c r="V22" i="3"/>
  <c r="V23" i="3"/>
  <c r="V61" i="3"/>
  <c r="V270" i="3"/>
  <c r="V264" i="3"/>
  <c r="V191" i="3"/>
  <c r="V290" i="3"/>
  <c r="V60" i="3"/>
  <c r="V101" i="3"/>
  <c r="V260" i="3"/>
  <c r="V89" i="3"/>
  <c r="V248" i="3"/>
  <c r="V114" i="3"/>
  <c r="V115" i="3"/>
  <c r="V269" i="3"/>
  <c r="V4" i="3"/>
  <c r="V119" i="3"/>
  <c r="V120" i="3"/>
  <c r="V247" i="3"/>
  <c r="V145" i="3"/>
  <c r="V34" i="3"/>
  <c r="V10" i="3"/>
  <c r="V11" i="3"/>
  <c r="V96" i="3"/>
  <c r="V97" i="3"/>
  <c r="V53" i="3"/>
  <c r="V54" i="3"/>
  <c r="V83" i="3"/>
  <c r="V84" i="3"/>
  <c r="V41" i="3"/>
  <c r="V42" i="3"/>
  <c r="V43" i="3"/>
  <c r="V44" i="3"/>
  <c r="V109" i="3"/>
  <c r="V110" i="3"/>
  <c r="V111" i="3"/>
  <c r="V174" i="3"/>
  <c r="V164" i="3"/>
  <c r="V280" i="3"/>
  <c r="V281" i="3"/>
  <c r="V263" i="3"/>
  <c r="V179" i="3"/>
  <c r="V180" i="3"/>
  <c r="V181" i="3"/>
  <c r="V254" i="3"/>
  <c r="V240" i="3"/>
  <c r="V241" i="3"/>
  <c r="V200" i="3"/>
  <c r="V155" i="3"/>
  <c r="V47" i="3"/>
  <c r="V48" i="3"/>
  <c r="V229" i="3"/>
  <c r="V133" i="3"/>
  <c r="V134" i="3"/>
  <c r="V220" i="3"/>
  <c r="V221" i="3"/>
  <c r="V170" i="3"/>
  <c r="V218" i="3"/>
  <c r="V219" i="3"/>
  <c r="V292" i="3"/>
  <c r="V157" i="3"/>
  <c r="V38" i="3"/>
  <c r="V72" i="3"/>
  <c r="V73" i="3"/>
  <c r="V62" i="3"/>
  <c r="V52" i="3"/>
  <c r="V50" i="3"/>
  <c r="V12" i="3"/>
  <c r="V222" i="3"/>
  <c r="V306" i="3"/>
  <c r="V171" i="3"/>
  <c r="V236" i="3"/>
  <c r="V87" i="3"/>
  <c r="V237" i="3"/>
  <c r="V210" i="3"/>
  <c r="V278" i="3"/>
  <c r="V197" i="3"/>
  <c r="V105" i="3"/>
  <c r="V106" i="3"/>
  <c r="V187" i="3"/>
  <c r="V252" i="3"/>
  <c r="V253" i="3"/>
  <c r="V172" i="3"/>
  <c r="V63" i="3"/>
  <c r="V7" i="3"/>
  <c r="V8" i="3"/>
  <c r="V9" i="3"/>
  <c r="V25" i="3"/>
  <c r="V26" i="3"/>
  <c r="V86" i="3"/>
  <c r="V261" i="3"/>
  <c r="V78" i="3"/>
  <c r="V35" i="3"/>
  <c r="V238" i="3"/>
  <c r="V285" i="3"/>
  <c r="V286" i="3"/>
  <c r="V124" i="3"/>
  <c r="V126" i="3"/>
  <c r="V208" i="3"/>
  <c r="V5" i="3"/>
  <c r="V192" i="3"/>
  <c r="V193" i="3"/>
  <c r="V195" i="3"/>
  <c r="V196" i="3"/>
  <c r="V45" i="3"/>
  <c r="V46" i="3"/>
  <c r="V224" i="3"/>
  <c r="V225" i="3"/>
  <c r="V198" i="3"/>
  <c r="V64" i="3"/>
  <c r="V85" i="3"/>
  <c r="V243" i="3"/>
  <c r="V58" i="3"/>
  <c r="V59" i="3"/>
  <c r="V259" i="3"/>
  <c r="V277" i="3"/>
  <c r="V3" i="3"/>
  <c r="V226" i="3"/>
  <c r="V276" i="3"/>
  <c r="U228" i="3"/>
  <c r="U112" i="3"/>
  <c r="U184" i="3"/>
  <c r="U204" i="3"/>
  <c r="U104" i="3"/>
  <c r="U98" i="3"/>
  <c r="U79" i="3"/>
  <c r="U212" i="3"/>
  <c r="U213" i="3"/>
  <c r="U194" i="3"/>
  <c r="U150" i="3"/>
  <c r="U217" i="3"/>
  <c r="U90" i="3"/>
  <c r="U91" i="3"/>
  <c r="U65" i="3"/>
  <c r="U205" i="3"/>
  <c r="U206" i="3"/>
  <c r="U257" i="3"/>
  <c r="U258" i="3"/>
  <c r="U165" i="3"/>
  <c r="U166" i="3"/>
  <c r="U167" i="3"/>
  <c r="U94" i="3"/>
  <c r="U95" i="3"/>
  <c r="U137" i="3"/>
  <c r="U173" i="3"/>
  <c r="U249" i="3"/>
  <c r="U250" i="3"/>
  <c r="U227" i="3"/>
  <c r="U287" i="3"/>
  <c r="U288" i="3"/>
  <c r="U289" i="3"/>
  <c r="U201" i="3"/>
  <c r="U273" i="3"/>
  <c r="U182" i="3"/>
  <c r="U185" i="3"/>
  <c r="U297" i="3"/>
  <c r="U274" i="3"/>
  <c r="U153" i="3"/>
  <c r="U293" i="3"/>
  <c r="U129" i="3"/>
  <c r="U304" i="3"/>
  <c r="U13" i="3"/>
  <c r="U33" i="3"/>
  <c r="U56" i="3"/>
  <c r="U57" i="3"/>
  <c r="U223" i="3"/>
  <c r="U291" i="3"/>
  <c r="U267" i="3"/>
  <c r="U100" i="3"/>
  <c r="U188" i="3"/>
  <c r="U214" i="3"/>
  <c r="U118" i="3"/>
  <c r="U88" i="3"/>
  <c r="U298" i="3"/>
  <c r="U235" i="3"/>
  <c r="U175" i="3"/>
  <c r="U176" i="3"/>
  <c r="U271" i="3"/>
  <c r="U55" i="3"/>
  <c r="U80" i="3"/>
  <c r="U275" i="3"/>
  <c r="U121" i="3"/>
  <c r="U151" i="3"/>
  <c r="U189" i="3"/>
  <c r="U190" i="3"/>
  <c r="U125" i="3"/>
  <c r="U103" i="3"/>
  <c r="U156" i="3"/>
  <c r="U305" i="3"/>
  <c r="U268" i="3"/>
  <c r="U19" i="3"/>
  <c r="U215" i="3"/>
  <c r="U216" i="3"/>
  <c r="U183" i="3"/>
  <c r="U186" i="3"/>
  <c r="U152" i="3"/>
  <c r="U301" i="3"/>
  <c r="U116" i="3"/>
  <c r="U202" i="3"/>
  <c r="U138" i="3"/>
  <c r="U36" i="3"/>
  <c r="U37" i="3"/>
  <c r="U242" i="3"/>
  <c r="U17" i="3"/>
  <c r="U18" i="3"/>
  <c r="U203" i="3"/>
  <c r="U282" i="3"/>
  <c r="U148" i="3"/>
  <c r="U24" i="3"/>
  <c r="U102" i="3"/>
  <c r="U295" i="3"/>
  <c r="U169" i="3"/>
  <c r="U27" i="3"/>
  <c r="U154" i="3"/>
  <c r="U262" i="3"/>
  <c r="U149" i="3"/>
  <c r="U255" i="3"/>
  <c r="U256" i="3"/>
  <c r="U127" i="3"/>
  <c r="U128" i="3"/>
  <c r="U6" i="3"/>
  <c r="U307" i="3"/>
  <c r="U308" i="3"/>
  <c r="U244" i="3"/>
  <c r="U245" i="3"/>
  <c r="U246" i="3"/>
  <c r="U74" i="3"/>
  <c r="U75" i="3"/>
  <c r="U76" i="3"/>
  <c r="U211" i="3"/>
  <c r="U294" i="3"/>
  <c r="U122" i="3"/>
  <c r="U123" i="3"/>
  <c r="U158" i="3"/>
  <c r="U159" i="3"/>
  <c r="U136" i="3"/>
  <c r="U302" i="3"/>
  <c r="U160" i="3"/>
  <c r="U92" i="3"/>
  <c r="U93" i="3"/>
  <c r="U251" i="3"/>
  <c r="U28" i="3"/>
  <c r="U29" i="3"/>
  <c r="U30" i="3"/>
  <c r="U130" i="3"/>
  <c r="U232" i="3"/>
  <c r="U233" i="3"/>
  <c r="U140" i="3"/>
  <c r="U113" i="3"/>
  <c r="U31" i="3"/>
  <c r="U177" i="3"/>
  <c r="U272" i="3"/>
  <c r="U99" i="3"/>
  <c r="U142" i="3"/>
  <c r="U143" i="3"/>
  <c r="U32" i="3"/>
  <c r="U209" i="3"/>
  <c r="U49" i="3"/>
  <c r="U265" i="3"/>
  <c r="U266" i="3"/>
  <c r="U168" i="3"/>
  <c r="U15" i="3"/>
  <c r="U16" i="3"/>
  <c r="U81" i="3"/>
  <c r="U39" i="3"/>
  <c r="U40" i="3"/>
  <c r="U230" i="3"/>
  <c r="U231" i="3"/>
  <c r="U162" i="3"/>
  <c r="U163" i="3"/>
  <c r="U144" i="3"/>
  <c r="U199" i="3"/>
  <c r="U283" i="3"/>
  <c r="U284" i="3"/>
  <c r="U303" i="3"/>
  <c r="U131" i="3"/>
  <c r="U132" i="3"/>
  <c r="U296" i="3"/>
  <c r="U178" i="3"/>
  <c r="U135" i="3"/>
  <c r="U82" i="3"/>
  <c r="U77" i="3"/>
  <c r="U51" i="3"/>
  <c r="U14" i="3"/>
  <c r="U107" i="3"/>
  <c r="U108" i="3"/>
  <c r="U66" i="3"/>
  <c r="U67" i="3"/>
  <c r="U139" i="3"/>
  <c r="U207" i="3"/>
  <c r="U299" i="3"/>
  <c r="U300" i="3"/>
  <c r="U239" i="3"/>
  <c r="U117" i="3"/>
  <c r="U279" i="3"/>
  <c r="U146" i="3"/>
  <c r="U141" i="3"/>
  <c r="U161" i="3"/>
  <c r="U147" i="3"/>
  <c r="U234" i="3"/>
  <c r="U20" i="3"/>
  <c r="U21" i="3"/>
  <c r="U22" i="3"/>
  <c r="U23" i="3"/>
  <c r="U61" i="3"/>
  <c r="U270" i="3"/>
  <c r="U264" i="3"/>
  <c r="U191" i="3"/>
  <c r="U290" i="3"/>
  <c r="U60" i="3"/>
  <c r="U101" i="3"/>
  <c r="U260" i="3"/>
  <c r="U89" i="3"/>
  <c r="U248" i="3"/>
  <c r="U114" i="3"/>
  <c r="U115" i="3"/>
  <c r="U269" i="3"/>
  <c r="U4" i="3"/>
  <c r="U119" i="3"/>
  <c r="U120" i="3"/>
  <c r="U247" i="3"/>
  <c r="U145" i="3"/>
  <c r="U34" i="3"/>
  <c r="U10" i="3"/>
  <c r="U11" i="3"/>
  <c r="U96" i="3"/>
  <c r="U97" i="3"/>
  <c r="U53" i="3"/>
  <c r="U54" i="3"/>
  <c r="U83" i="3"/>
  <c r="U84" i="3"/>
  <c r="U41" i="3"/>
  <c r="U42" i="3"/>
  <c r="U43" i="3"/>
  <c r="U44" i="3"/>
  <c r="U109" i="3"/>
  <c r="U110" i="3"/>
  <c r="U111" i="3"/>
  <c r="U174" i="3"/>
  <c r="U164" i="3"/>
  <c r="U280" i="3"/>
  <c r="U281" i="3"/>
  <c r="U263" i="3"/>
  <c r="U179" i="3"/>
  <c r="U180" i="3"/>
  <c r="U181" i="3"/>
  <c r="U254" i="3"/>
  <c r="U240" i="3"/>
  <c r="U241" i="3"/>
  <c r="U200" i="3"/>
  <c r="U155" i="3"/>
  <c r="U47" i="3"/>
  <c r="U48" i="3"/>
  <c r="U229" i="3"/>
  <c r="U133" i="3"/>
  <c r="U134" i="3"/>
  <c r="U220" i="3"/>
  <c r="U221" i="3"/>
  <c r="U170" i="3"/>
  <c r="U218" i="3"/>
  <c r="U219" i="3"/>
  <c r="U292" i="3"/>
  <c r="U157" i="3"/>
  <c r="U38" i="3"/>
  <c r="U72" i="3"/>
  <c r="U73" i="3"/>
  <c r="U62" i="3"/>
  <c r="U52" i="3"/>
  <c r="U50" i="3"/>
  <c r="U12" i="3"/>
  <c r="U222" i="3"/>
  <c r="U306" i="3"/>
  <c r="U171" i="3"/>
  <c r="U236" i="3"/>
  <c r="U87" i="3"/>
  <c r="U237" i="3"/>
  <c r="U210" i="3"/>
  <c r="U278" i="3"/>
  <c r="U197" i="3"/>
  <c r="U105" i="3"/>
  <c r="U106" i="3"/>
  <c r="U187" i="3"/>
  <c r="U252" i="3"/>
  <c r="U253" i="3"/>
  <c r="U172" i="3"/>
  <c r="U63" i="3"/>
  <c r="U7" i="3"/>
  <c r="U8" i="3"/>
  <c r="U9" i="3"/>
  <c r="U25" i="3"/>
  <c r="U26" i="3"/>
  <c r="U86" i="3"/>
  <c r="U261" i="3"/>
  <c r="U78" i="3"/>
  <c r="U35" i="3"/>
  <c r="U238" i="3"/>
  <c r="U285" i="3"/>
  <c r="U286" i="3"/>
  <c r="U124" i="3"/>
  <c r="U126" i="3"/>
  <c r="U208" i="3"/>
  <c r="U5" i="3"/>
  <c r="U192" i="3"/>
  <c r="U193" i="3"/>
  <c r="U195" i="3"/>
  <c r="U196" i="3"/>
  <c r="U45" i="3"/>
  <c r="U46" i="3"/>
  <c r="U224" i="3"/>
  <c r="U225" i="3"/>
  <c r="U198" i="3"/>
  <c r="U64" i="3"/>
  <c r="U85" i="3"/>
  <c r="U243" i="3"/>
  <c r="U58" i="3"/>
  <c r="U59" i="3"/>
  <c r="U259" i="3"/>
  <c r="U277" i="3"/>
  <c r="U3" i="3"/>
  <c r="U226" i="3"/>
  <c r="U276" i="3"/>
  <c r="E228" i="3"/>
  <c r="E112" i="3"/>
  <c r="E184" i="3"/>
  <c r="E204" i="3"/>
  <c r="E12" i="3"/>
  <c r="E273" i="3"/>
  <c r="E24" i="3"/>
  <c r="E205" i="3"/>
  <c r="E206" i="3"/>
  <c r="E218" i="3"/>
  <c r="E182" i="3"/>
  <c r="E217" i="3"/>
  <c r="E78" i="3"/>
  <c r="E90" i="3"/>
  <c r="E34" i="3"/>
  <c r="E91" i="3"/>
  <c r="E126" i="3"/>
  <c r="E257" i="3"/>
  <c r="E258" i="3"/>
  <c r="E146" i="3"/>
  <c r="E199" i="3"/>
  <c r="E200" i="3"/>
  <c r="E94" i="3"/>
  <c r="E95" i="3"/>
  <c r="E188" i="3"/>
  <c r="E72" i="3"/>
  <c r="E219" i="3"/>
  <c r="E215" i="3"/>
  <c r="E73" i="3"/>
  <c r="E6" i="3"/>
  <c r="E118" i="3"/>
  <c r="E60" i="3"/>
  <c r="E201" i="3"/>
  <c r="E268" i="3"/>
  <c r="E222" i="3"/>
  <c r="E103" i="3"/>
  <c r="E269" i="3"/>
  <c r="E216" i="3"/>
  <c r="E88" i="3"/>
  <c r="E62" i="3"/>
  <c r="E149" i="3"/>
  <c r="E64" i="3"/>
  <c r="E287" i="3"/>
  <c r="E56" i="3"/>
  <c r="E145" i="3"/>
  <c r="E212" i="3"/>
  <c r="E57" i="3"/>
  <c r="E85" i="3"/>
  <c r="E189" i="3"/>
  <c r="E213" i="3"/>
  <c r="E267" i="3"/>
  <c r="E100" i="3"/>
  <c r="E190" i="3"/>
  <c r="E288" i="3"/>
  <c r="E289" i="3"/>
  <c r="E295" i="3"/>
  <c r="E169" i="3"/>
  <c r="E235" i="3"/>
  <c r="E175" i="3"/>
  <c r="E176" i="3"/>
  <c r="E27" i="3"/>
  <c r="E129" i="3"/>
  <c r="E117" i="3"/>
  <c r="E79" i="3"/>
  <c r="E121" i="3"/>
  <c r="E151" i="3"/>
  <c r="E135" i="3"/>
  <c r="E207" i="3"/>
  <c r="E239" i="3"/>
  <c r="E211" i="3"/>
  <c r="E156" i="3"/>
  <c r="E89" i="3"/>
  <c r="E260" i="3"/>
  <c r="E227" i="3"/>
  <c r="E35" i="3"/>
  <c r="E285" i="3"/>
  <c r="E183" i="3"/>
  <c r="E214" i="3"/>
  <c r="E152" i="3"/>
  <c r="E286" i="3"/>
  <c r="E116" i="3"/>
  <c r="E202" i="3"/>
  <c r="E41" i="3"/>
  <c r="E124" i="3"/>
  <c r="E61" i="3"/>
  <c r="E242" i="3"/>
  <c r="E173" i="3"/>
  <c r="E274" i="3"/>
  <c r="E293" i="3"/>
  <c r="E261" i="3"/>
  <c r="E148" i="3"/>
  <c r="E275" i="3"/>
  <c r="E102" i="3"/>
  <c r="E197" i="3"/>
  <c r="E198" i="3"/>
  <c r="E270" i="3"/>
  <c r="E154" i="3"/>
  <c r="E262" i="3"/>
  <c r="E282" i="3"/>
  <c r="E4" i="3"/>
  <c r="E224" i="3"/>
  <c r="E127" i="3"/>
  <c r="E128" i="3"/>
  <c r="E225" i="3"/>
  <c r="E42" i="3"/>
  <c r="E43" i="3"/>
  <c r="E244" i="3"/>
  <c r="E245" i="3"/>
  <c r="E246" i="3"/>
  <c r="E44" i="3"/>
  <c r="E252" i="3"/>
  <c r="E253" i="3"/>
  <c r="E58" i="3"/>
  <c r="E142" i="3"/>
  <c r="E139" i="3"/>
  <c r="E170" i="3"/>
  <c r="E158" i="3"/>
  <c r="E159" i="3"/>
  <c r="E143" i="3"/>
  <c r="E248" i="3"/>
  <c r="E150" i="3"/>
  <c r="E74" i="3"/>
  <c r="E75" i="3"/>
  <c r="E59" i="3"/>
  <c r="E3" i="3"/>
  <c r="E251" i="3"/>
  <c r="E81" i="3"/>
  <c r="E276" i="3"/>
  <c r="E277" i="3"/>
  <c r="E226" i="3"/>
  <c r="E271" i="3"/>
  <c r="E304" i="3"/>
  <c r="E140" i="3"/>
  <c r="E113" i="3"/>
  <c r="E31" i="3"/>
  <c r="E177" i="3"/>
  <c r="E55" i="3"/>
  <c r="E84" i="3"/>
  <c r="E186" i="3"/>
  <c r="E240" i="3"/>
  <c r="E32" i="3"/>
  <c r="E39" i="3"/>
  <c r="E40" i="3"/>
  <c r="E19" i="3"/>
  <c r="E17" i="3"/>
  <c r="E241" i="3"/>
  <c r="E18" i="3"/>
  <c r="E203" i="3"/>
  <c r="E164" i="3"/>
  <c r="E51" i="3"/>
  <c r="E52" i="3"/>
  <c r="E230" i="3"/>
  <c r="E231" i="3"/>
  <c r="E162" i="3"/>
  <c r="E163" i="3"/>
  <c r="E236" i="3"/>
  <c r="E101" i="3"/>
  <c r="E265" i="3"/>
  <c r="E266" i="3"/>
  <c r="E303" i="3"/>
  <c r="E136" i="3"/>
  <c r="E302" i="3"/>
  <c r="E232" i="3"/>
  <c r="E294" i="3"/>
  <c r="E76" i="3"/>
  <c r="E87" i="3"/>
  <c r="E233" i="3"/>
  <c r="E70" i="3"/>
  <c r="E14" i="3"/>
  <c r="E122" i="3"/>
  <c r="E123" i="3"/>
  <c r="E137" i="3"/>
  <c r="E138" i="3"/>
  <c r="E299" i="3"/>
  <c r="E300" i="3"/>
  <c r="E279" i="3"/>
  <c r="E305" i="3"/>
  <c r="E68" i="3"/>
  <c r="E69" i="3"/>
  <c r="E66" i="3"/>
  <c r="E133" i="3"/>
  <c r="E71" i="3"/>
  <c r="E67" i="3"/>
  <c r="E237" i="3"/>
  <c r="E234" i="3"/>
  <c r="E15" i="3"/>
  <c r="E16" i="3"/>
  <c r="E283" i="3"/>
  <c r="E284" i="3"/>
  <c r="E278" i="3"/>
  <c r="E77" i="3"/>
  <c r="E264" i="3"/>
  <c r="E99" i="3"/>
  <c r="E134" i="3"/>
  <c r="E255" i="3"/>
  <c r="E256" i="3"/>
  <c r="E36" i="3"/>
  <c r="E96" i="3"/>
  <c r="E131" i="3"/>
  <c r="E243" i="3"/>
  <c r="E141" i="3"/>
  <c r="E37" i="3"/>
  <c r="E132" i="3"/>
  <c r="E272" i="3"/>
  <c r="E63" i="3"/>
  <c r="E247" i="3"/>
  <c r="E210" i="3"/>
  <c r="E160" i="3"/>
  <c r="E10" i="3"/>
  <c r="E11" i="3"/>
  <c r="E97" i="3"/>
  <c r="E53" i="3"/>
  <c r="E54" i="3"/>
  <c r="E83" i="3"/>
  <c r="E307" i="3"/>
  <c r="E301" i="3"/>
  <c r="E308" i="3"/>
  <c r="E161" i="3"/>
  <c r="E223" i="3"/>
  <c r="E107" i="3"/>
  <c r="E20" i="3"/>
  <c r="E21" i="3"/>
  <c r="E22" i="3"/>
  <c r="E23" i="3"/>
  <c r="E82" i="3"/>
  <c r="E280" i="3"/>
  <c r="E281" i="3"/>
  <c r="E263" i="3"/>
  <c r="E179" i="3"/>
  <c r="E180" i="3"/>
  <c r="E181" i="3"/>
  <c r="E254" i="3"/>
  <c r="E50" i="3"/>
  <c r="E192" i="3"/>
  <c r="E193" i="3"/>
  <c r="E155" i="3"/>
  <c r="E47" i="3"/>
  <c r="E48" i="3"/>
  <c r="E229" i="3"/>
  <c r="E119" i="3"/>
  <c r="E120" i="3"/>
  <c r="E109" i="3"/>
  <c r="E110" i="3"/>
  <c r="E108" i="3"/>
  <c r="E306" i="3"/>
  <c r="E249" i="3"/>
  <c r="E98" i="3"/>
  <c r="E157" i="3"/>
  <c r="E38" i="3"/>
  <c r="E111" i="3"/>
  <c r="E174" i="3"/>
  <c r="E220" i="3"/>
  <c r="E250" i="3"/>
  <c r="E65" i="3"/>
  <c r="E185" i="3"/>
  <c r="E290" i="3"/>
  <c r="E194" i="3"/>
  <c r="E171" i="3"/>
  <c r="E104" i="3"/>
  <c r="E105" i="3"/>
  <c r="E106" i="3"/>
  <c r="E291" i="3"/>
  <c r="E13" i="3"/>
  <c r="E298" i="3"/>
  <c r="E33" i="3"/>
  <c r="E297" i="3"/>
  <c r="E187" i="3"/>
  <c r="E80" i="3"/>
  <c r="E125" i="3"/>
  <c r="E172" i="3"/>
  <c r="E165" i="3"/>
  <c r="E7" i="3"/>
  <c r="E8" i="3"/>
  <c r="E9" i="3"/>
  <c r="E25" i="3"/>
  <c r="E26" i="3"/>
  <c r="E86" i="3"/>
  <c r="E28" i="3"/>
  <c r="E29" i="3"/>
  <c r="E49" i="3"/>
  <c r="E114" i="3"/>
  <c r="E115" i="3"/>
  <c r="E296" i="3"/>
  <c r="E30" i="3"/>
  <c r="E130" i="3"/>
  <c r="E147" i="3"/>
  <c r="E5" i="3"/>
  <c r="E166" i="3"/>
  <c r="E167" i="3"/>
  <c r="E195" i="3"/>
  <c r="E196" i="3"/>
  <c r="E208" i="3"/>
  <c r="E144" i="3"/>
  <c r="E168" i="3"/>
  <c r="E178" i="3"/>
  <c r="E191" i="3"/>
  <c r="E221" i="3"/>
  <c r="E238" i="3"/>
  <c r="E209" i="3"/>
  <c r="E153" i="3"/>
  <c r="E45" i="3"/>
  <c r="E259" i="3"/>
  <c r="E46" i="3"/>
  <c r="E92" i="3"/>
  <c r="E93" i="3"/>
  <c r="E292" i="3"/>
  <c r="G309" i="3"/>
</calcChain>
</file>

<file path=xl/sharedStrings.xml><?xml version="1.0" encoding="utf-8"?>
<sst xmlns="http://schemas.openxmlformats.org/spreadsheetml/2006/main" count="5999" uniqueCount="1720">
  <si>
    <t>Nombre del Agente Transitario:</t>
  </si>
  <si>
    <t>CENTRAL AMERICA CARGO (CAC PAQUETERIA &amp; ENVIO MEXICO)</t>
  </si>
  <si>
    <t>Fecha:</t>
  </si>
  <si>
    <t>08/12/2025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</si>
  <si>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</si>
  <si>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</si>
  <si>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</si>
  <si>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</si>
  <si>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</si>
  <si>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</si>
  <si>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</si>
  <si>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</si>
  <si>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649-31382864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</si>
  <si>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</si>
  <si>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</si>
  <si>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</si>
  <si>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</si>
  <si>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</si>
  <si>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</si>
  <si>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</si>
  <si>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</si>
  <si>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</si>
  <si>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</si>
  <si>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</si>
  <si>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</si>
  <si>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</si>
  <si>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CAJA DE MISCELANEAS/CAJUELA DE MOTO</t>
  </si>
  <si>
    <t>YANEXI SIERRA BRITO</t>
  </si>
  <si>
    <t>ADRIANA TORRES SIERRA</t>
  </si>
  <si>
    <t>56272355 / 56970830</t>
  </si>
  <si>
    <t>CALLE 41, EDIF 7 E/ 2D Y 2E RPTO. 4, ARTEMISA, ARTEMISA (Zona 2)</t>
  </si>
  <si>
    <t>ART</t>
  </si>
  <si>
    <t>CAJA DE MISCELANEAS/ALIMENTO</t>
  </si>
  <si>
    <t>CAJA DE MISCELANEAS</t>
  </si>
  <si>
    <t>HENRY MORALES VALDES</t>
  </si>
  <si>
    <t>ARELYS BENITA MORALES VALDES</t>
  </si>
  <si>
    <t>53516223 / 53516223</t>
  </si>
  <si>
    <t>CALLE 26 # 4305 E/ 43 Y 45, ARTEMISA, ARTEMISA (Zona 2)</t>
  </si>
  <si>
    <t>IVAN CASTILLO HERNANDEZ</t>
  </si>
  <si>
    <t>MILEIDY CORDERO VAZQUEZ</t>
  </si>
  <si>
    <t>56688789 / 56688789</t>
  </si>
  <si>
    <t>CALLE 7, CASERIO EL CALIXTO # 1216 E/ 12 Y 18, ARTEMISA, ARTEMISA (Zona 2)</t>
  </si>
  <si>
    <t>CAJA SMART TV 40</t>
  </si>
  <si>
    <t>ARLENIS CESPEDES CAMERO</t>
  </si>
  <si>
    <t>JOSE ANTONIO PEREZ CESPEDES</t>
  </si>
  <si>
    <t>55668559 / 55668559</t>
  </si>
  <si>
    <t>AVE 251 # 13612 E/ 136 Y 138, BAUTA, ARTEMISA (Zona 1)</t>
  </si>
  <si>
    <t>ESTUFAS DE GAS /CONDIMENTOS</t>
  </si>
  <si>
    <t>CAJA DE MISCELANEAS/PA ALES</t>
  </si>
  <si>
    <t>TV 50 PULGADAS JVC</t>
  </si>
  <si>
    <t>ALEJANDRO DIAZ DE LEON</t>
  </si>
  <si>
    <t>JULIA DORTA SOLIS</t>
  </si>
  <si>
    <t>53353482 / 53353482</t>
  </si>
  <si>
    <t>CALLE 36 # 5917, CAIMITO, ARTEMISA (Zona 1)</t>
  </si>
  <si>
    <t>ROPA Y CONFITURA MISCELANIA</t>
  </si>
  <si>
    <t>AMBAR SANCHEZ QUINTANA</t>
  </si>
  <si>
    <t>50160440 / 50160440</t>
  </si>
  <si>
    <t>CALLE IGNACIO HUMARA # 140 E/ MANUEL ORTEGA Y HETRMANOS CONCEPCION, SAN CRISTOBAL, ARTEMISA (Zona 3)</t>
  </si>
  <si>
    <t>MISCELANEAS/PICADORA DE CAF EN GRANOS</t>
  </si>
  <si>
    <t>WILIAM LOPEZ PE A</t>
  </si>
  <si>
    <t>LETICIA VASQUEZ PIS</t>
  </si>
  <si>
    <t>59515559 / 55016267</t>
  </si>
  <si>
    <t>CALLE AV 26, EDIF 5 E/ 51A Y 55 RPTO. 1, CIENFUEGOS, CIENFUEGOS (Zona 7)</t>
  </si>
  <si>
    <t>CFG</t>
  </si>
  <si>
    <t>MALETA MISCELANEAS</t>
  </si>
  <si>
    <t>MELISA AYALA NARANJO</t>
  </si>
  <si>
    <t>LIUSMILA ANDREA ESPINOSA ALARCON</t>
  </si>
  <si>
    <t>63605175 / 63605175</t>
  </si>
  <si>
    <t>CALLE 6, RPTO MANOPLA # 105 E/ 25 Y 19, BAYAMO, GRANMA (Zona 5)</t>
  </si>
  <si>
    <t>HOG</t>
  </si>
  <si>
    <t>CAJA DE MISCELANEAS/VENTILADOR DE PEDESTAL</t>
  </si>
  <si>
    <t>SUCEL LILIAN ALVAREZ ROSABAL</t>
  </si>
  <si>
    <t>LILIANA PAULA LLUIS ALVAREZ</t>
  </si>
  <si>
    <t>59009596 / 53462071</t>
  </si>
  <si>
    <t>AVE 8VA, EDIF 51, RPTO NUEVO MANZANILLO E/ 11 Y 13 RPTO. A7, MANZANILLO, GRANMA (Zona 5)</t>
  </si>
  <si>
    <t>JOSE RAUL PONS</t>
  </si>
  <si>
    <t>IDELYS NAVARRO LORES</t>
  </si>
  <si>
    <t>53166393 / 53166393</t>
  </si>
  <si>
    <t>CALLE RUBER LOPEZ # 14 E/ RAFAEL TREJO Y FRANK PAIS, BARACOA, GUANTANAMO (Zona 5)</t>
  </si>
  <si>
    <t>SCU</t>
  </si>
  <si>
    <t>CAJA DE MISCELANEAS/BATIDORA</t>
  </si>
  <si>
    <t>CAJA DE HORNO TOSTADOR</t>
  </si>
  <si>
    <t>YARISEL RODRIGUEZ RAMOS</t>
  </si>
  <si>
    <t>WILDER RENE LAFITA MONTES DE OCA</t>
  </si>
  <si>
    <t>58549013 / 58549013</t>
  </si>
  <si>
    <t>CALLE 1RO DE ABRIL,RPTO CAMILO CIENFUEGOS # 303 E/ 6 Y 8, BARACOA, GUANTANAMO (Zona 5)</t>
  </si>
  <si>
    <t>PABLO LOPEZ ALVAREZ</t>
  </si>
  <si>
    <t>DIANELIS LOPEZ POTRILLE</t>
  </si>
  <si>
    <t>58350119 / 58350119</t>
  </si>
  <si>
    <t>CALLE 7OESTE,EDIF 62, RPTO CARIBE E/ 16 Y 17 NORTE RPTO. 424B, GUANTANAMO, GUANTANAMO (Zona 5)</t>
  </si>
  <si>
    <t>CAJA DE MISCELANEAS/CARRITO DE MANDADO</t>
  </si>
  <si>
    <t>JUAN FELIX GUTIERREZ GALLARDO</t>
  </si>
  <si>
    <t>ERSILLA PARRA PE A</t>
  </si>
  <si>
    <t>54088958 / 54088958</t>
  </si>
  <si>
    <t>CALLE 21,EDIF 44, VILLA NUEVA E/ 8 Y 12 RPTO. 3, HOLGUIN, HOLGUIN (Zona 1)</t>
  </si>
  <si>
    <t>CAJA DE MISCELANEAS/OLLA DE PRESION</t>
  </si>
  <si>
    <t>MIRNA RODRIGUEZ PEREZ</t>
  </si>
  <si>
    <t>LILIANNE BARCELO RODRIGUEZ</t>
  </si>
  <si>
    <t>53481911 / 53481911</t>
  </si>
  <si>
    <t>CALLE 12, EDIF 19 DE LOS MEDICOS , RPTO VILLA NUEVA, 3ER PISO RPTO. 6, HOLGUIN, HOLGUIN (Zona 1)</t>
  </si>
  <si>
    <t>IDALBERTO CABRERA YERA</t>
  </si>
  <si>
    <t>SANDRA LAFFITA GONZALEZ</t>
  </si>
  <si>
    <t>54827459 / 54827459</t>
  </si>
  <si>
    <t>CALLE 5TA REPTO POEY # 55 E/ CALZADA DE BEJUCAL Y A, ARROYO NARANJO, LA HABANA (Zona Aeropuerto (Z1 A))</t>
  </si>
  <si>
    <t>HAV</t>
  </si>
  <si>
    <t>ROPA, ASEO CONFITURAS , ESPECIES Y ALIMENTOS</t>
  </si>
  <si>
    <t>NAOMI BORDA DESPAIGNE</t>
  </si>
  <si>
    <t>58049370 / 58049370</t>
  </si>
  <si>
    <t>AVENIDA SANTA AMALIA REPARTO SANTA AMALIA # 114ALTOS E/ DOLORES Y SANTA ISABEL, ARROYO NARANJO, LA HABANA (Zona Aeropuerto (Z1 A))</t>
  </si>
  <si>
    <t>TAPA DE MALETERO DE CARRO</t>
  </si>
  <si>
    <t>YUNIOR DIAZ IGLESIAS</t>
  </si>
  <si>
    <t>MARISOL IGLESIAS RAMOS PARERA</t>
  </si>
  <si>
    <t>54379616 / 54379616</t>
  </si>
  <si>
    <t>CALLE 174, RPTO VILLANUEVA, SANTIAGO DE LAS VEGAS # 39307 E/ 393 Y 395, BOYEROS, LA HABANA (Zona Aeropuerto (Z1 A))</t>
  </si>
  <si>
    <t>CAJA CONDIMENTO/MISCELANEAS</t>
  </si>
  <si>
    <t>SERGUIE IGLESIAS MARE</t>
  </si>
  <si>
    <t>RAFAEL GILBERTO HERNANDEZ RODRIGUEZ</t>
  </si>
  <si>
    <t>78738387 / 52760845</t>
  </si>
  <si>
    <t>CALLE HOSPITAL # 61 E/ 25 Y HUMBOLTH RPTO. 1, CENTRO HABANA, LA HABANA (Zona del Este (Z2 E))</t>
  </si>
  <si>
    <t>MAQUINA DE HACER HIELO DOMESTICA</t>
  </si>
  <si>
    <t>ALENA SOTERO CUNILL</t>
  </si>
  <si>
    <t>JORGE ORLANDO OLIVER PARERA</t>
  </si>
  <si>
    <t>50241960 / 50241960</t>
  </si>
  <si>
    <t>CALLE SANTA CATALINA, RPTO LAWTON # 27 E/ DIEZ DE OCTUBRE Y BUENA VENTURA, DIEZ DE OCTUBRE, LA HABANA (Zona Aeropuerto (Z1 A))</t>
  </si>
  <si>
    <t>CAJA MISCELANEAS/BOMBA DE AGUA</t>
  </si>
  <si>
    <t>LUIS ALBERTO RIVAS CASTELLANOS</t>
  </si>
  <si>
    <t>KENIA ORTEGA GUERRA</t>
  </si>
  <si>
    <t>76990547 / 58698410</t>
  </si>
  <si>
    <t>CALLE MILAGROS # 258 E/ ARMAS Y LAWTON, DIEZ DE OCTUBRE, LA HABANA (Zona Aeropuerto (Z1 A))</t>
  </si>
  <si>
    <t>NEIVIS REYES AREVALO</t>
  </si>
  <si>
    <t>MARIA KARLA RODRIGUEZ REYES</t>
  </si>
  <si>
    <t>59676909 / 59676909</t>
  </si>
  <si>
    <t>CALLE 1RA B, EDIF 506, CAMILO CIENFUEGOS RPTO. 8, HABANA DEL ESTE, LA HABANA (Zona del Este (Z2 E))</t>
  </si>
  <si>
    <t>MESITAS ARMABLES</t>
  </si>
  <si>
    <t>ADRIAN RODRIGUEZ VALDES</t>
  </si>
  <si>
    <t>JORGE LUIS FERNANDEZ ROBAINA</t>
  </si>
  <si>
    <t>55037066 / 55037066</t>
  </si>
  <si>
    <t>CALLE 11C, EDIF 14A,RPTO BAHIA E/ 92 Y 94 RPTO. 5, HABANA DEL ESTE, LA HABANA (Zona del Este (Z2 E))</t>
  </si>
  <si>
    <t>CAJA DE MISCELANEAS/PARRILLA ELECTRICA</t>
  </si>
  <si>
    <t>NAIDA MACIAS HERNANDEZ</t>
  </si>
  <si>
    <t>JOSE BENITEZ MACIAS</t>
  </si>
  <si>
    <t>72749854 / 53869763</t>
  </si>
  <si>
    <t>CALLE AV 31, SAN AGUSTIN # 24607 E/ 246 Y 250, LA LISA, LA HABANA (Zona Habana (Z3 H))</t>
  </si>
  <si>
    <t>CAJA MISCELANEAS/PROTECTOR DE VOLTAJE</t>
  </si>
  <si>
    <t>ANGEL GORT CASTILLO</t>
  </si>
  <si>
    <t>YODALYS LOPEZ FERNANDEZ</t>
  </si>
  <si>
    <t>72802731 / 58058531</t>
  </si>
  <si>
    <t>CALLE 156 # 7108 E/ 71 Y 83, LA LISA, LA HABANA (Zona Habana (Z3 H))</t>
  </si>
  <si>
    <t>CAJA DE ACCESORIOS PARA U AS</t>
  </si>
  <si>
    <t>EMILIO MARTINEZ CABRERA</t>
  </si>
  <si>
    <t>RACHEL NAPOLES CUESTA</t>
  </si>
  <si>
    <t>51599652 / 51599652</t>
  </si>
  <si>
    <t>AVENIDA 51 # 14017 E/ 140 Y 142, MARIANAO, LA HABANA (Zona Habana (Z3 H))</t>
  </si>
  <si>
    <t>CAJA DE ACCESORIOS PARA U AS/LAMPARA LED, TINTE</t>
  </si>
  <si>
    <t>ROSA MIGDALIA CUESTA FIGUEROA</t>
  </si>
  <si>
    <t>AVE 37 # 14011 E/ 140 Y 142, MARIANAO, LA HABANA (Zona Habana (Z3 H))</t>
  </si>
  <si>
    <t>CAJA DE LAMPARA DE ESCRITORIO/EXTRACTOR DE POLVO</t>
  </si>
  <si>
    <t>EDISLEYDIS CUESTA FIGUEROA</t>
  </si>
  <si>
    <t>53580001 / 53580001</t>
  </si>
  <si>
    <t>CALLE 126, INTERIOR # 3110 E/ 31 Y 33, MARIANAO, LA HABANA (Zona Habana (Z3 H))</t>
  </si>
  <si>
    <t>CAJA DE ACCESORIOS PARA U AS/ORGANIZADORES PLASTICOS</t>
  </si>
  <si>
    <t>LAZARO DIUVANY NAVARRETE ROJAS</t>
  </si>
  <si>
    <t>CALLE AV 37 # 14011 E/ 140 Y 142, MARIANAO, LA HABANA (Zona Habana (Z3 H))</t>
  </si>
  <si>
    <t>CAJA DE LAMPARA LED /AROS DE LUZ/TRIPIE/TINTE</t>
  </si>
  <si>
    <t>SMART PANEL BREAK</t>
  </si>
  <si>
    <t>LORETA GONZALEZ PEREZ</t>
  </si>
  <si>
    <t>MARIA EMILIA CRUZ SANCHEZ</t>
  </si>
  <si>
    <t>72086165 / 52723256</t>
  </si>
  <si>
    <t>CALLE 148, CUBANACAN # 907 E/ 9NA Y 9NA A, PLAYA, LA HABANA (Zona Habana (Z3 H))</t>
  </si>
  <si>
    <t>BATIDORAS</t>
  </si>
  <si>
    <t>CAJA CALENTADOR DE AGUA</t>
  </si>
  <si>
    <t>RENATA JOSEFINA RIVERA</t>
  </si>
  <si>
    <t>GEIKIS JIMENEZ CASTELLON</t>
  </si>
  <si>
    <t>53198561 / 53198561</t>
  </si>
  <si>
    <t>CALLE 11 # 1301 E/ 22 Y 24, PLAZA, LA HABANA (Zona Habana (Z3 H))</t>
  </si>
  <si>
    <t>CAJA DE MISCELANEAS/VENTILADOR</t>
  </si>
  <si>
    <t>LEONARDO LEON RUIZ</t>
  </si>
  <si>
    <t>EVELINA LUIS RODRIGUEZ</t>
  </si>
  <si>
    <t>76933349 / 63976003</t>
  </si>
  <si>
    <t>CALLE BLUME RAMOS, ALTOS,RPTO JUANELO # 226 E/ ULACIA Y CASTILLO, SAN MIGUEL DEL PADRON, LA HABANA (Zona Aeropuerto (Z1 A))</t>
  </si>
  <si>
    <t>OLLA MULTIFUNCIONAL</t>
  </si>
  <si>
    <t>PULLOVER GORRAS, MISCELANIA</t>
  </si>
  <si>
    <t>GILBERTO MORA PASCUAL</t>
  </si>
  <si>
    <t>52582655 / 52582655</t>
  </si>
  <si>
    <t>AVENIDA 36 ESCALERA 565 E/ CALZADA Y CORONEL VERDUGO, CARDENAS, MATANZAS (Zona 4)</t>
  </si>
  <si>
    <t>VRA</t>
  </si>
  <si>
    <t>PULLOVER GORRAS, MSICELANIA</t>
  </si>
  <si>
    <t>ZUNILDA BENITA BUSTOS BRAVO</t>
  </si>
  <si>
    <t>AVENIDA 36 ESCALERA 566 E/ CALZADA Y CORONEL VERDUGO, CARDENAS, MATANZAS (Zona 4)</t>
  </si>
  <si>
    <t>CAJA DE MEDICAMENTO</t>
  </si>
  <si>
    <t>REN VICTORES GONZ LEZ</t>
  </si>
  <si>
    <t>JESUS ALBERTO SANCHEZ CRUZ</t>
  </si>
  <si>
    <t>45525618 / 52784298</t>
  </si>
  <si>
    <t>AVENIDA SEXTA A # 1215 E/ ENTRE CALLE 25 Y Y CALLE 26, CARDENAS, MATANZAS (Zona 4)</t>
  </si>
  <si>
    <t>ROPA, MEDICAMENTO , ALIMENTO Y MISCELANIA</t>
  </si>
  <si>
    <t>ANGEL CHONG HERNANDEZ</t>
  </si>
  <si>
    <t>63915101 / 63915101</t>
  </si>
  <si>
    <t>CALLE JON PIO ALVAREZ , POBLADO MAXIMO GOMEZ # 21 E/ PIO ALAVREZ Y JOSE ANTONIO ECHEVARRIA, PERICO, MATANZAS (Zona 3)</t>
  </si>
  <si>
    <t>ANNAYERI ACOSTA CAMEJO</t>
  </si>
  <si>
    <t>YOSBEL ARRONTE GONZALEZ</t>
  </si>
  <si>
    <t>50867677 / 50867677</t>
  </si>
  <si>
    <t>CALLE D # 9A E/ 1ERA Y 2DA, MINAS DE MATAHAMBRE, PINAR DEL RIO (Zona 3)</t>
  </si>
  <si>
    <t>PDR</t>
  </si>
  <si>
    <t>LAMPARA DE TECHO</t>
  </si>
  <si>
    <t>YOEL MENENDEZ SEIJO</t>
  </si>
  <si>
    <t>59116905 / 59116905</t>
  </si>
  <si>
    <t>AVENIDA VI ALES PASAJE 26 REPARTO PEPE CHEPE # 11 E/ RAFAEL MORALES Y CALLE A2, PINAR DEL RIO, PINAR DEL RIO (Zona1)</t>
  </si>
  <si>
    <t>1 IMPRESORA, EQUIPO NEBULIZADOR , TECLADO, ROPA, MISCELANIA PAPEL HIGIENICO</t>
  </si>
  <si>
    <t>LIANET CHIL TORRES</t>
  </si>
  <si>
    <t>53836073 / 53836073</t>
  </si>
  <si>
    <t>CALLE 2DA DEL SUR # 16 E/ CALLE MARTI Y MAXIMO GOMEZ, CABAIGUAN, SANCTI SPIRITUS (Zona 7)</t>
  </si>
  <si>
    <t>SNU</t>
  </si>
  <si>
    <t>FRASCO DE TINMTA DE IMPRESORA</t>
  </si>
  <si>
    <t>CAJA DE MISCELANEAS/TRITURADOR</t>
  </si>
  <si>
    <t>MISLAIDI ACOSTA POUZA</t>
  </si>
  <si>
    <t>ODISVEL MARTINEZ ALONSO</t>
  </si>
  <si>
    <t>51923866 / 51923866</t>
  </si>
  <si>
    <t>CALLE JOSE MIGUELGOMEZ # 26B E/ MENESES, YAGUAJAY, SANCTI SPIRITUS (Zona 9)</t>
  </si>
  <si>
    <t>ARELYS GUERRA SANTANA</t>
  </si>
  <si>
    <t>MANUEL BENAVIDES JACAS</t>
  </si>
  <si>
    <t>54808913 / 54808913</t>
  </si>
  <si>
    <t>CALLE NUEVA # 3 E/ MARTI Y SAN ANTONIO, SANTIAGO DE CUBA, SANTIAGO DE CUBA (Zona 1)</t>
  </si>
  <si>
    <t>MEDICINA ESPECIES INSUMOS MEDICOS</t>
  </si>
  <si>
    <t>DALIA CISNEROS GARBEY</t>
  </si>
  <si>
    <t>52719560 / 52719560</t>
  </si>
  <si>
    <t>CALLE PROLONGACION DE RASTRO REPARTO LOS OLMOS # 38 E/ MARTI Y YARAYO, SANTIAGO DE CUBA, SANTIAGO DE CUBA (Zona 1)</t>
  </si>
  <si>
    <t>IRMA ACOSTA PEREZ</t>
  </si>
  <si>
    <t>DANIEL RAMON SOMOZA NARANJO</t>
  </si>
  <si>
    <t>54581083 / 54581083</t>
  </si>
  <si>
    <t>CALLE CARRETERA A MATA KM 1, EDIF 1 E/ 2DA RPTO. 2, CIFUENTES, VILLA CLARA (Zona 1)</t>
  </si>
  <si>
    <t>ILDA ESTHER MEDINA GARCIA</t>
  </si>
  <si>
    <t>ROBERTO JESUS MEDINA GARCIA</t>
  </si>
  <si>
    <t>42892024 / 58907938</t>
  </si>
  <si>
    <t>AVENIDA DECIMA SUR # 6 E/ CALZADA MACEO Y 2DA DEL ESTE, ENCRUCIJADA, VILLA CLARA (Zona 2)</t>
  </si>
  <si>
    <t>XIOMARA LOZANO SANCHEZ</t>
  </si>
  <si>
    <t>LORENA RAMIREZ LOZANO</t>
  </si>
  <si>
    <t>58509021 / 58509021</t>
  </si>
  <si>
    <t>CALLE CARRETERA FOMENTO,CMF 181 E/ 8VA DEL SUR Y 9NA DEL SUR, PLACETAS, VILLA CLARA (Zona 2)</t>
  </si>
  <si>
    <t>CAJA DE ALIMENTOS</t>
  </si>
  <si>
    <t>LAZARO ANTONIO MATA CUEVA</t>
  </si>
  <si>
    <t>LIDICE CORZO GONZALEZ</t>
  </si>
  <si>
    <t>53044515 / 53044515</t>
  </si>
  <si>
    <t>CALLE 29 BIPLANTA 4, RPTO 26 DE JULIO E/ 20 Y 22, SAGUA LA GRANDE, VILLA CLARA (Zona 2)</t>
  </si>
  <si>
    <t>CAJA DE MISCELANEAS/LICUADORA/OLLA PRESIONES/ESTUFA DE GAS</t>
  </si>
  <si>
    <t>RENE SUAREZ GONZALEZ</t>
  </si>
  <si>
    <t>LISANDRA SUAREZ ORFILA</t>
  </si>
  <si>
    <t>56422612 / 56422612</t>
  </si>
  <si>
    <t>CALLE CARRETERA DE MALEZA, EDIF 6, REPARTE CAMACHO EDIF DEL PEDAGOJICO RPTO. 19, SANTA CLARA, VILLA CLARA (Zona 1)</t>
  </si>
  <si>
    <t>2 FAROLES DE CARRO, CARGADORES, ALIMENTO</t>
  </si>
  <si>
    <t>ANA CARIDAD PEREZ GUERRA</t>
  </si>
  <si>
    <t>52829539 / 42201802</t>
  </si>
  <si>
    <t>CALLE A REPARTO BRISAS DEL CAPIRO . # 48 E/ CALLE 5TA Y FINAL, SANTA CLARA, VILLA CLARA (Zona 1)</t>
  </si>
  <si>
    <t>EDY ORLANDIS PE A</t>
  </si>
  <si>
    <t>MARIA DELOS ANGELES TREJO ORLANDIS</t>
  </si>
  <si>
    <t>55534575 / 55534575</t>
  </si>
  <si>
    <t>CALLE MISIONERO, RPTO CONDADO # 175 E/ RODOLFO BANDERAS Y CICLON, SANTA CLARA, VILLA CLARA (Zona 1)</t>
  </si>
  <si>
    <t>COBRADO</t>
  </si>
  <si>
    <t>DIRECCION</t>
  </si>
  <si>
    <t>CI</t>
  </si>
  <si>
    <t>CLIENTE</t>
  </si>
  <si>
    <t>TELEFONO</t>
  </si>
  <si>
    <t>PASSPORT</t>
  </si>
  <si>
    <t>REMITENTE</t>
  </si>
  <si>
    <t>BULTOS</t>
  </si>
  <si>
    <t>PESO</t>
  </si>
  <si>
    <t>MERCANCIA</t>
  </si>
  <si>
    <t>HOUSE</t>
  </si>
  <si>
    <t>TELEFONO 2</t>
  </si>
  <si>
    <t>TELEFONO 1</t>
  </si>
  <si>
    <t>GUIA</t>
  </si>
  <si>
    <t>ROPA, MEDICAMENTO, ALIMENTO Y MISCELANIA</t>
  </si>
  <si>
    <t>ROPA, ASEO CONFITURAS, ESPECIES Y ALIMENTOS</t>
  </si>
  <si>
    <t>1 IMPRESORA, EQUIPO NEBULIZADOR, TECLADO, ROPA, MISCELANIA PAPEL HIGIENICO</t>
  </si>
  <si>
    <t>MISCELANIA, ROPA, ASEO</t>
  </si>
  <si>
    <t>JULIETTE BRONARD CABRERA</t>
  </si>
  <si>
    <t>58250306 / 58250306</t>
  </si>
  <si>
    <t>1 SILLA PLEGABLE , 1 OLLA DE COCCION, ALIMENTO , MEDICINA</t>
  </si>
  <si>
    <t>UN HORNO ELECTRICO</t>
  </si>
  <si>
    <t>LUIS OSCAR GONZALEZ HERNANDEZ</t>
  </si>
  <si>
    <t>58518743 / 58518743</t>
  </si>
  <si>
    <t>SARTEN ELECTRICO , UN SECADOR DE PELO, ROPA , ASEO MISCELANIA</t>
  </si>
  <si>
    <t>ROPA, CALZADO, ASEO , ALIMENTOS , MEDICINA , MISCELANIA , CASCO DE MOTO</t>
  </si>
  <si>
    <t>JUGLAR ALEJANDRO TAMAYO PEREZ</t>
  </si>
  <si>
    <t>56628755 / 56628755</t>
  </si>
  <si>
    <t>LENCERIA, CALZADO, MAQUINA DE PELAR, SASONES, ALIMENTO , MEDICINA</t>
  </si>
  <si>
    <t>LISET ESTEVEZ SERRANO</t>
  </si>
  <si>
    <t>50943745 / 55009433</t>
  </si>
  <si>
    <t>ASEO</t>
  </si>
  <si>
    <t>ROPA, MISCELANIA, MEDICAMENTO , ASEO</t>
  </si>
  <si>
    <t>MARIA DE LOS ANGELES RODRIGUEZ GUTIERREZ</t>
  </si>
  <si>
    <t>56547567 / 56547567</t>
  </si>
  <si>
    <t>1 MALETA , MISCELANIA, ROPA</t>
  </si>
  <si>
    <t>ARBOL DE NAVIDA Y LUCES</t>
  </si>
  <si>
    <t>ALIMENTOS</t>
  </si>
  <si>
    <t>JUANA GALVEZ BERNAL</t>
  </si>
  <si>
    <t>59785979 / 59785979</t>
  </si>
  <si>
    <t>UTILES ESCOLARES , ROPA, MSICELANIA, CALZADO</t>
  </si>
  <si>
    <t>MISCELANIA, ASEO, ROPA Y ALIMENTO</t>
  </si>
  <si>
    <t>MISCELANIA , 3 REGULADORES DE VOLTAJE Y MEDICAMENTOS</t>
  </si>
  <si>
    <t>ARMANDO GARCIA ESPINOSA</t>
  </si>
  <si>
    <t>54705132 / 54705132</t>
  </si>
  <si>
    <t>MISCELANIA MEDICAMENTOS , ALIMENTOS</t>
  </si>
  <si>
    <t>MARIO ALBERTO VELZQUEZ OSORIO</t>
  </si>
  <si>
    <t>55558907 / 55558907</t>
  </si>
  <si>
    <t>MISCELANIA, ROPA Y CALZADO, ALIMENTO Y MEDICINA</t>
  </si>
  <si>
    <t>NORA MARIA RAMOS GUTIERREZ</t>
  </si>
  <si>
    <t>59657235 / 59657235</t>
  </si>
  <si>
    <t>ROPA DE ADULTO, MEDICAMENTO Y CONFITURA</t>
  </si>
  <si>
    <t>MISCELANIA Y ALIMENTO</t>
  </si>
  <si>
    <t>ANA IRIS ABAD MARTOS</t>
  </si>
  <si>
    <t>51667472 / 51667472</t>
  </si>
  <si>
    <t>MISCELANIA ALIMENTO Y ASEO</t>
  </si>
  <si>
    <t>ROPA,MEDICINA , MISCELANIA</t>
  </si>
  <si>
    <t>HILDA ESMERIDA QUINTANA MAYET</t>
  </si>
  <si>
    <t>54690030 / 54690030</t>
  </si>
  <si>
    <t>ALIMENTO, ROPA, MEDICINA</t>
  </si>
  <si>
    <t>MIRLE MONTANE QUINTANA</t>
  </si>
  <si>
    <t>56047348 / 56047348</t>
  </si>
  <si>
    <t>ALIMENTO</t>
  </si>
  <si>
    <t>YAMILKA PANTOJA FORNES</t>
  </si>
  <si>
    <t>56767182 / 56767182</t>
  </si>
  <si>
    <t>JUGUETES</t>
  </si>
  <si>
    <t>JULIAN VENTURA MITJANS PAREDES</t>
  </si>
  <si>
    <t>52549328 / 52549328</t>
  </si>
  <si>
    <t>ALIMENTOS, CONFITURAS , ROPA, CALZADO MISCELANIA</t>
  </si>
  <si>
    <t>REGLA VIDAL BORRAS</t>
  </si>
  <si>
    <t>52003631 / 52003631</t>
  </si>
  <si>
    <t>IMPRESORA</t>
  </si>
  <si>
    <t>YURISLEIDI MORALES CURET</t>
  </si>
  <si>
    <t>53917514 / 53917514</t>
  </si>
  <si>
    <t>ADA IRMA RAMIREZ HIDALGO</t>
  </si>
  <si>
    <t>50818720 / 50818720</t>
  </si>
  <si>
    <t>ORLANDO JESUS CASTRO HAYES</t>
  </si>
  <si>
    <t>CONFITURAS</t>
  </si>
  <si>
    <t>CLAUDIA NARANJO DE BASTERRA</t>
  </si>
  <si>
    <t>54251539 / 54251539</t>
  </si>
  <si>
    <t>MEDICAMENTOS</t>
  </si>
  <si>
    <t>ROPA, MISCELANIA, MAQUINA DE PELAR</t>
  </si>
  <si>
    <t>OSCAR RODRIGUEZ GAMEZ</t>
  </si>
  <si>
    <t>51688751 / 51688751</t>
  </si>
  <si>
    <t>MEDICAMENTOS, CONDIMENTOS, ALIMENTO</t>
  </si>
  <si>
    <t>MADELAINE SAUMELL PEREZ</t>
  </si>
  <si>
    <t>54538727 / 54538727</t>
  </si>
  <si>
    <t>MEDICINA, MOSQUITERO ALIMENTO</t>
  </si>
  <si>
    <t>MICAELA OCHOA PEREZ</t>
  </si>
  <si>
    <t>54801630 / 54801630</t>
  </si>
  <si>
    <t>DANIA DANIELA SILVA PEREZ</t>
  </si>
  <si>
    <t>58592905 / 58592905</t>
  </si>
  <si>
    <t>MARIAN ESCOBAR SUAREZ</t>
  </si>
  <si>
    <t>53071257 / 53071257</t>
  </si>
  <si>
    <t>ROPA, ZAPATOS, UTILES DE COCINA</t>
  </si>
  <si>
    <t>ODALYS RODRIGUEZ DE LA CRUZ</t>
  </si>
  <si>
    <t>52488280 / 52488280</t>
  </si>
  <si>
    <t>RUBISNEY CABRALES RODRIGUEZ</t>
  </si>
  <si>
    <t>52188331 / 52188331</t>
  </si>
  <si>
    <t>1 SILLA DE RUEDA Y ALUMBRE</t>
  </si>
  <si>
    <t>ENRIQUE JESUS AGUILAR GONDAR</t>
  </si>
  <si>
    <t>59068419 / 59068419</t>
  </si>
  <si>
    <t>CMW</t>
  </si>
  <si>
    <t>FRANK ROGER ORTEGA ESCUDERO</t>
  </si>
  <si>
    <t>58108456 / 58108456</t>
  </si>
  <si>
    <t>MEDICAMENTO Y ROPA DE BEBE</t>
  </si>
  <si>
    <t>DAYSI MACIAS SANTIESTEBAN</t>
  </si>
  <si>
    <t>52408156 / 52408156</t>
  </si>
  <si>
    <t>YAILIN ISABEL PEREZ GARCIA</t>
  </si>
  <si>
    <t>59459783 / 59459783</t>
  </si>
  <si>
    <t>OLLA DE PRESION Y ASEO</t>
  </si>
  <si>
    <t>DAGMARIS CARIDAD CASTILLO GIRAUDY</t>
  </si>
  <si>
    <t>53177201 / 53177201</t>
  </si>
  <si>
    <t>MEDICAMENTOS, MISCELANIA, CONFITURAS</t>
  </si>
  <si>
    <t>MELISSA DE LA CARIDAD ORTEGA SATORRES</t>
  </si>
  <si>
    <t>54445455 / 54445455</t>
  </si>
  <si>
    <t>MESA PLEGABLE PORTATIL</t>
  </si>
  <si>
    <t>ISABEL CEPERO DIAZ</t>
  </si>
  <si>
    <t>54414567 / 54414567</t>
  </si>
  <si>
    <t>MISCELANIA, MEDICINA UTILES DE COCINA.</t>
  </si>
  <si>
    <t>AIDA LOPEZ GONZALEZ</t>
  </si>
  <si>
    <t>54340046 / 54340046</t>
  </si>
  <si>
    <t>VENTILADOR Y CALZADO</t>
  </si>
  <si>
    <t>DANELIA DIAZ QUEZADA</t>
  </si>
  <si>
    <t>58582141 / 58582141</t>
  </si>
  <si>
    <t>CONFITURAS Y ASEO PERSONAL</t>
  </si>
  <si>
    <t>VENTILADOR</t>
  </si>
  <si>
    <t>ONEL LORENZO MORALES</t>
  </si>
  <si>
    <t>53711267 / 53711267</t>
  </si>
  <si>
    <t>DAYAMI MEDINA HERNANDEZ</t>
  </si>
  <si>
    <t>52379153 / 52379153</t>
  </si>
  <si>
    <t>PAQUETE DE CONDIMENTOS PARA LA CASA</t>
  </si>
  <si>
    <t>YURISLEIVY GONZALEZ ZORRILLA</t>
  </si>
  <si>
    <t>53784960 / 53784960</t>
  </si>
  <si>
    <t>MISCELANIA, ROPA</t>
  </si>
  <si>
    <t>ELIANIS COLERON LEBRIGIO</t>
  </si>
  <si>
    <t>53433188 / 53433188</t>
  </si>
  <si>
    <t>JOAQUIN RAFAEL MENDOZA COELLO</t>
  </si>
  <si>
    <t>55990721 / 55990721</t>
  </si>
  <si>
    <t>MISCELANIA Y MEDICINA</t>
  </si>
  <si>
    <t>LUIS ENRRIQUE MELENDEZ TORRES</t>
  </si>
  <si>
    <t>56170491 / 56170491</t>
  </si>
  <si>
    <t>DAYELIS GONZALEZ VILLALOBOS</t>
  </si>
  <si>
    <t>52043815 / 52043815</t>
  </si>
  <si>
    <t>YASNEL RAMON RODRIGUEZ CADENAS</t>
  </si>
  <si>
    <t>58612744 / 58612744</t>
  </si>
  <si>
    <t>MISCELANIA, MEDICINA ALIMENTO</t>
  </si>
  <si>
    <t>ALIDA MAYRA CRUZ GONZALEZ</t>
  </si>
  <si>
    <t>56130670 / 56130670</t>
  </si>
  <si>
    <t>MEDICINA MISCELANIA</t>
  </si>
  <si>
    <t>ONILDA GONZALEZ CARRALES</t>
  </si>
  <si>
    <t>58711748 / 58711748</t>
  </si>
  <si>
    <t>DEISY TORRES PRIETO</t>
  </si>
  <si>
    <t>51793278 / 51793278</t>
  </si>
  <si>
    <t>ASEO MISCELANIA Y MEDICINA</t>
  </si>
  <si>
    <t>YASNIEL ALEJANDRO CALDERIUS RODRIGUEZ</t>
  </si>
  <si>
    <t>50491424 / 50491424</t>
  </si>
  <si>
    <t>MISCELANIA, ALIMENTO MEDICINA</t>
  </si>
  <si>
    <t>JORGE FELIX TORNES MARTINEZ</t>
  </si>
  <si>
    <t>52371400 / 52371400</t>
  </si>
  <si>
    <t>SELLADORA DE PLASTICO, ALIMENTO ROPA MISCELANIA</t>
  </si>
  <si>
    <t>SABANAS, COLCHAS, ASEO, MISCELANIA, ALIMENTO</t>
  </si>
  <si>
    <t>MAYRA LOACEZ GUTIERREZ</t>
  </si>
  <si>
    <t>55238198 / 55238198</t>
  </si>
  <si>
    <t>MISCELANIA, ALIMENTO Y MEDICINA</t>
  </si>
  <si>
    <t>YANET GALCERAN DOMINGUEZ</t>
  </si>
  <si>
    <t>55910060 / 55910060</t>
  </si>
  <si>
    <t>ROPA CALZADO, MISCELANIA ALIMENTOS Y ASEO</t>
  </si>
  <si>
    <t>JOSE ANGEL CABRERA LAZO</t>
  </si>
  <si>
    <t>63279873 / 63279873</t>
  </si>
  <si>
    <t>EDITZA PALOMINO HERNANDEZ</t>
  </si>
  <si>
    <t>55455480 / 55455480</t>
  </si>
  <si>
    <t>EDILIA HERNANDEZ DUARTE</t>
  </si>
  <si>
    <t>51810916 / 51810916</t>
  </si>
  <si>
    <t>PEDRO MIGUEL CABRERA LAZO</t>
  </si>
  <si>
    <t>55625854 / 55625854</t>
  </si>
  <si>
    <t>TOMAS VERA ALMENARES</t>
  </si>
  <si>
    <t>58133000 / 58133000</t>
  </si>
  <si>
    <t>MARIA DE LOS ANGELES RAMIREZ BRAVO</t>
  </si>
  <si>
    <t>52769658 / 52769658</t>
  </si>
  <si>
    <t>ROPA, CALZADO MEDICINA, ASEO MISCELANIA</t>
  </si>
  <si>
    <t>ROSALINA ARENCIBIA GARCIA</t>
  </si>
  <si>
    <t>59876977 / 59876977</t>
  </si>
  <si>
    <t>JESUS MOREIRA MARTINEZ</t>
  </si>
  <si>
    <t>63673571 / 63673571</t>
  </si>
  <si>
    <t>YANELIA TUR PUPO</t>
  </si>
  <si>
    <t>53241663 / 53241663</t>
  </si>
  <si>
    <t>ROPA Y ASEO MISCELANIA</t>
  </si>
  <si>
    <t>LISSEL NOHAY MORALES</t>
  </si>
  <si>
    <t>56979883 / 56979883</t>
  </si>
  <si>
    <t>MISCELANIA</t>
  </si>
  <si>
    <t>SANTA CELINA GARCIA ARIE</t>
  </si>
  <si>
    <t>54389394 / 54389394</t>
  </si>
  <si>
    <t>DOLORES ELIZABETH LUGO GUERRERO</t>
  </si>
  <si>
    <t>54724893 / 54724893</t>
  </si>
  <si>
    <t>FREDDY RICARDO LUGO GUERRERO</t>
  </si>
  <si>
    <t>63791486 / 63791486</t>
  </si>
  <si>
    <t>YULIET MARTINEZ LINARES</t>
  </si>
  <si>
    <t>53157703 / 53157703</t>
  </si>
  <si>
    <t>RAIMA QUERALTA LOPEZ</t>
  </si>
  <si>
    <t>54810519 / 54810519</t>
  </si>
  <si>
    <t>ANA ELENA GOMEZ LAURENCIO</t>
  </si>
  <si>
    <t>50239494 / 50239494</t>
  </si>
  <si>
    <t>ALIMENTO, ROPA, CALZADO, PROTECTOR VOLTAJE MISCELANIA</t>
  </si>
  <si>
    <t>JORGE CARLOS SILVA FIGUEREDO</t>
  </si>
  <si>
    <t>53144530 / 53144530</t>
  </si>
  <si>
    <t>TAHIMI RIVERO PITT</t>
  </si>
  <si>
    <t>54749128 / 54749128</t>
  </si>
  <si>
    <t>ROPA, CALZADO. ASEO, ALIMENTO, MEDICINA, MOLINO MANUAL DE CARNE</t>
  </si>
  <si>
    <t>MORAIMA DE LA CARIDAD RAMOS GARCIA</t>
  </si>
  <si>
    <t>55237238 / 55237238</t>
  </si>
  <si>
    <t>BELMIS CEDE O SILEGAS</t>
  </si>
  <si>
    <t>58132890 / 58132890</t>
  </si>
  <si>
    <t>CESTO PLASTICO Y ALIMENTO</t>
  </si>
  <si>
    <t>NELSIDA CLEMENCIA MONTANO TAIT</t>
  </si>
  <si>
    <t>55749729 / 55749729</t>
  </si>
  <si>
    <t>GUILLERMO CAMEJO BARRIOS</t>
  </si>
  <si>
    <t>54236425 / 54236425</t>
  </si>
  <si>
    <t>LEYNA LEBLANCH RUIZ</t>
  </si>
  <si>
    <t>54961643 / 54961643</t>
  </si>
  <si>
    <t>ISEL CRUZ REY</t>
  </si>
  <si>
    <t>58327920 / 58327920</t>
  </si>
  <si>
    <t>MESA MULTIUSO</t>
  </si>
  <si>
    <t>IDALMIS CESPEDES MARTINEZ</t>
  </si>
  <si>
    <t>53508122 / 53508122</t>
  </si>
  <si>
    <t>ROSALINA BRIZUELA MARI O</t>
  </si>
  <si>
    <t>53843078 / 53843078</t>
  </si>
  <si>
    <t>LIANET LA O BAZAN</t>
  </si>
  <si>
    <t>58582813 / 58582813</t>
  </si>
  <si>
    <t>ZENIA ERNESTINA ZAYAS IGLESIAS</t>
  </si>
  <si>
    <t>53746521 / 53746521</t>
  </si>
  <si>
    <t>ROPA MISCELANIA</t>
  </si>
  <si>
    <t>OLGA LIDIA GOMEZ POZO</t>
  </si>
  <si>
    <t>MEDICINA, CALZADO, MISCELANIA</t>
  </si>
  <si>
    <t>XIONY LUISA ZAYAS IGLESIAS</t>
  </si>
  <si>
    <t>50645236 / 50645236</t>
  </si>
  <si>
    <t>GRISEL ALFONZO PEREZ</t>
  </si>
  <si>
    <t>56269838 / 56269838</t>
  </si>
  <si>
    <t>MISCELANIA Y PARRILLA ELECTRICA</t>
  </si>
  <si>
    <t>AMPARO TORRES TOLEDO</t>
  </si>
  <si>
    <t>50644766 / 50644766</t>
  </si>
  <si>
    <t>PROYECTOR DE VIDEO, CAJA DECODIFICADORA TV Y MISCELANIA</t>
  </si>
  <si>
    <t>CAJA DE HERRAMIENTA MISCELANIA</t>
  </si>
  <si>
    <t>ALIMENTO ASEO MEDICINA, MISCELANIA</t>
  </si>
  <si>
    <t>TANIA LOPEZ ALVAREZ</t>
  </si>
  <si>
    <t>58902785 / 58902785</t>
  </si>
  <si>
    <t>MISCELANIA, GOMA DE BICICLETA, ASEO ROPA Y CALZADO</t>
  </si>
  <si>
    <t>MSICELANIA, ROPA Y CALZADO</t>
  </si>
  <si>
    <t>ALIMENTO Y ASEO</t>
  </si>
  <si>
    <t>MILEYDIS ALONSO GOMEZ</t>
  </si>
  <si>
    <t>53984313 / 53984313</t>
  </si>
  <si>
    <t>ASEO ALIMENTO</t>
  </si>
  <si>
    <t>YANOLIS FROMETA HINOJOSA</t>
  </si>
  <si>
    <t>51199467 / 51199467</t>
  </si>
  <si>
    <t>MISCELANIA, CONFITURAS Y MEDICINA</t>
  </si>
  <si>
    <t>LENNA RIVAS MARZO</t>
  </si>
  <si>
    <t>53570813 / 53570813</t>
  </si>
  <si>
    <t>ROPA ALIMENTOS MEDICINA Y ASEO</t>
  </si>
  <si>
    <t>ROPA, MISCELANIA, ASEO MEDICINA</t>
  </si>
  <si>
    <t>YORDIS ORTIZ AVILA</t>
  </si>
  <si>
    <t>55683157 / 55683157</t>
  </si>
  <si>
    <t>HOJA DE SIERRA, MISCELANIA, JUEGO DE BROCAS, MOCHILA</t>
  </si>
  <si>
    <t>MILEYDIS LEYVA MORA</t>
  </si>
  <si>
    <t>58592641 / 58592641</t>
  </si>
  <si>
    <t>JUGEUTES DE USO, HERRAMIENTAS MISCELANIA</t>
  </si>
  <si>
    <t>FREDDY CRUZ LEYVA</t>
  </si>
  <si>
    <t>53082964 / 53082964</t>
  </si>
  <si>
    <t>CARLOS ENRIQUE BAUDIN CUELLO</t>
  </si>
  <si>
    <t>54728848 / 54728848</t>
  </si>
  <si>
    <t>ROPA CALZADO, MISCELANIA, SILLA PLEGABLE, CAFETERA</t>
  </si>
  <si>
    <t>KARINA ESPERANZA ROJAS BATLLE</t>
  </si>
  <si>
    <t>54367067 / 54367067</t>
  </si>
  <si>
    <t>JOSE CURBELO VASALLO</t>
  </si>
  <si>
    <t>53618270 / 53618270</t>
  </si>
  <si>
    <t>MAY</t>
  </si>
  <si>
    <t>RAINEL CURBELO GONZALEZ</t>
  </si>
  <si>
    <t>53618271 / 53618271</t>
  </si>
  <si>
    <t>ROPA, CALZADO MISCELANIA, TOHALLAS</t>
  </si>
  <si>
    <t>MAIDA HERNANDEZ BORGES</t>
  </si>
  <si>
    <t>53595102 / 53595102</t>
  </si>
  <si>
    <t>MISCELANIA, MEDICAMENTO, ASEO PERSONAL, CONDIMENTOS 1 MALETA</t>
  </si>
  <si>
    <t>1 DESBROZADORA CON SIERRA CIRCULAR Y RUTEADORA MAKITA. CILINDRO Y PISTON DE LA DESBROZADORA</t>
  </si>
  <si>
    <t>ROPA, MEDICINA, ASEO, ALIMENTO MISCELANIA</t>
  </si>
  <si>
    <t>MISCELANIA, ALIMENTO, MEDICAMENTO</t>
  </si>
  <si>
    <t>JUGUETES DE USO, HERRAMIENTAS, MISCELANIA, MEDICINA</t>
  </si>
  <si>
    <t>MISCELANIA, MEDICAMENTO, HOJA DE SIERRA</t>
  </si>
  <si>
    <t>HERRAMIENTAS, MATERIAL DE OFICINA, MEDICINA, ARTICULOS DE COCINA</t>
  </si>
  <si>
    <t>ALIMENTO, ASEO ROPA, CALZADO MEDICINA MATERIAL DE OFICINA</t>
  </si>
  <si>
    <t>ROPA, CALZADO, ALIMENTOS, MISCELANIA</t>
  </si>
  <si>
    <t>ROPA, CALZADO, ASEO, ALIMENTOS, MEDICINA, MISCELANIA</t>
  </si>
  <si>
    <t>BICICLETA, ASEO, HERRAMIENTAS, MEDICINA</t>
  </si>
  <si>
    <t>ALIMENTO ZAPATO, ROPA MISCELANIA</t>
  </si>
  <si>
    <t>ASEO ALIMENTO, ZAPATO CONFITURAS</t>
  </si>
  <si>
    <t>MISCELANIA, ROPA, CALZADO, ALIMENTOS INSUMOS MEDICOS</t>
  </si>
  <si>
    <t>MEDICINA, CONFITURAS, 1 COCINA ELECTRICA, JUGUETES, ROPA</t>
  </si>
  <si>
    <t>JUGUETE CAMION, CALZADO ROPA, ASEO</t>
  </si>
  <si>
    <t>MISCELANIA, ROPA, CALZADO, ASEO</t>
  </si>
  <si>
    <t>ROPA, CALZADO, ALIMENTOS ENLATADOS, 1 TALADRO ELECTRICO MISCELANIA</t>
  </si>
  <si>
    <t>1 MOCHILA, ROPA, CALZADO, ALIMENTO, MISCELANIA</t>
  </si>
  <si>
    <t>JUGUETES, MEDICINA, CONDIMENTOS, ZAPATOS MISCELANIA</t>
  </si>
  <si>
    <t>JUGUETES, CONDIMENTOS, ZAPATOS MISCELANIA</t>
  </si>
  <si>
    <t>CALZADO, ROPA, 1 NEBULIZADOR, TECLADO DE UNA COMPU, MISCELANIA</t>
  </si>
  <si>
    <t>MEDICAMENTO, MISCELANIA, ROPA, CALZADO PLACA DE TV .</t>
  </si>
  <si>
    <t>MISCELANIA, ROPA, KIT PARA NEBULIZADOR</t>
  </si>
  <si>
    <t>MISCELANIA, ASEO, ALIMENTO MEDICINA</t>
  </si>
  <si>
    <t>ZAPATOS, PLAYERAS, ASEO, ALIMENTO MEDICINA, MISCELANIA</t>
  </si>
  <si>
    <t>ROPA, CALZADO, MISCELANIA, ASEO, CONFITURAS</t>
  </si>
  <si>
    <t>MEDICAMENTO, MISCELANIA, CALZADO, ASEO</t>
  </si>
  <si>
    <t>ROPA Y CALZADO, MEDICINA, CONFITURAS ASEO</t>
  </si>
  <si>
    <t>COLCHAS, CHANCLETAS, ALIMENTOS, MAQUINA PICADOR DE ESPECIE, SECADORA DE PELO, VENTILADOR</t>
  </si>
  <si>
    <t>ROPA, MEDICAMENTO, PRODUCTOS BASICOS DEL HOGAR, MISCELANIA</t>
  </si>
  <si>
    <t>ROPA CALZADO, NEBULIZADOR, MEDICAMENTOS, ALIMENTOS ASEO</t>
  </si>
  <si>
    <t>COLCHAS, CALZADO MISCELANIA, ALIMENTOS, REGULADOR DE VOLTAJE.</t>
  </si>
  <si>
    <t>MISCELANIA, 1 SILLA PLASTICA, ALIMENTO, MEDICINA ROPA</t>
  </si>
  <si>
    <t>DOS VENTILADORES, MISCELANIA Y ALIMENTO</t>
  </si>
  <si>
    <t>1 LICUADORA, 1 OLLA ARROCERA, CORTINEROS, MISCELANIA</t>
  </si>
  <si>
    <t>MEDICINA, MISCELANIA 1 VENTILADOR ASEO</t>
  </si>
  <si>
    <t>ASEO PERSONAL CONDIMENTOS, ALIMENTOS</t>
  </si>
  <si>
    <t>ASEO ALIMENTO MEDICINA, MISCELANIA</t>
  </si>
  <si>
    <t>1 HORNILLA ELECTRICA ALIMENTOS, ASEO</t>
  </si>
  <si>
    <t>1 LICUADORA, 1 MINIPROCESADOR ALIMENTO, CALENTADOR DE AGUA, OLLA DE PRESION, ASEO MISCELANIA</t>
  </si>
  <si>
    <t>MEDICINA. CONFITURAS</t>
  </si>
  <si>
    <t>COCINA DE INDUCCION, OLLA DE INDUCCION, CAFETERA, SILLIN DE BICICLETA ALIMENTO Y MEDICINA</t>
  </si>
  <si>
    <t>ROPA, CALZADO MEDICINA, MISCELANIA</t>
  </si>
  <si>
    <t>ROPA, ASEO, CALZADO, MISCELANIA</t>
  </si>
  <si>
    <t>IMPRESORA, MISCELANIA, ALIMENTO</t>
  </si>
  <si>
    <t>IMPRESORA. MEDICINA, ALIMENTO, ASEO MISCELANIA</t>
  </si>
  <si>
    <t>COCINA DE INDUCCION, ZAPATOS, MEDICINA, MISCELANIA</t>
  </si>
  <si>
    <t>ROPA, CALZADO, ASEO, MEDICINA, MISCELANIA</t>
  </si>
  <si>
    <t>MEDICAMENTOS, ASEO, ARTICULOS DEL HOGAR, ALIMENTO MISCELANIA</t>
  </si>
  <si>
    <t>1 OLLA DE ARROZ, ROPA DE NIñO, ALIMENTOS, MEDICINA Y MISCELANIA</t>
  </si>
  <si>
    <t>MEDICINA, ARTICULOS DEL HOGAR, ASEO, ROPA, MISCELANIA, ALIMENTO</t>
  </si>
  <si>
    <t>CAFETERA EXPRESA, OLLA DE PRESION, OLLA ARROCERA, ROPA, CALZADO</t>
  </si>
  <si>
    <t>1 CONTROLADOR CARGA SOLAR, CONDIMENTO, CALZADO MISCELANIA, 1 INVERSOR</t>
  </si>
  <si>
    <t>MISCELANIA, CALZADO Y ROPA DE MUJER Y NIñO</t>
  </si>
  <si>
    <t>PIANO</t>
  </si>
  <si>
    <t>MARINO MARIN CAMPOS</t>
  </si>
  <si>
    <t>ANGEL MANUEL MORALES HIDALGO</t>
  </si>
  <si>
    <t>53407320 / 53407320</t>
  </si>
  <si>
    <t>CAJA PINO NAVIDEÑO</t>
  </si>
  <si>
    <t>JUAN MORALES CRUZ</t>
  </si>
  <si>
    <t>REINA ISABEL FERNANDEZ BATISTA</t>
  </si>
  <si>
    <t>51448815 / 51448815</t>
  </si>
  <si>
    <t>JUAN MANUEL CRUZ RODRIGUEZ</t>
  </si>
  <si>
    <t>54769626 / 59600357</t>
  </si>
  <si>
    <t>CAJA DE MISCELANEAS/INVERSOR DE CORRIENTE</t>
  </si>
  <si>
    <t>JUAN CARLOS FERNANDEZ MARTINEZ</t>
  </si>
  <si>
    <t>MARBELI RIVERA ZAMORA</t>
  </si>
  <si>
    <t>55529871 / 55529871</t>
  </si>
  <si>
    <t>CAJON TV SMART 65</t>
  </si>
  <si>
    <t>CAJA CON CAMARAS DE SEGURIDAD</t>
  </si>
  <si>
    <t>LILIAN MARIA LORENZO SANCHEZ</t>
  </si>
  <si>
    <t>52751582 / 52751582</t>
  </si>
  <si>
    <t>DAIYAN ROSALES GONZALEZ</t>
  </si>
  <si>
    <t>ELENA YAMIL GONZALEZ SANTOS</t>
  </si>
  <si>
    <t>56289237 / 56289237</t>
  </si>
  <si>
    <t>CAJA CON MISCELANEAS/OLLA DE PRESION</t>
  </si>
  <si>
    <t>ZUZEL SALAZAR DUANY</t>
  </si>
  <si>
    <t>YORDANYS RAMIREZ SALAZAR</t>
  </si>
  <si>
    <t>50150790 / 50150790</t>
  </si>
  <si>
    <t>CAJA DE MISCELANEAS/CEPILLO SECADOR /RODILLERA DE MASAJE</t>
  </si>
  <si>
    <t>CAJA DE MESCLADORA/CERRADURA/MISCELANEAS</t>
  </si>
  <si>
    <t>YAMILEX PEREZ NARANJO</t>
  </si>
  <si>
    <t>RAUL BARRIOS VICIEDO</t>
  </si>
  <si>
    <t>53280226 / 53280226</t>
  </si>
  <si>
    <t>MEDICINAS</t>
  </si>
  <si>
    <t>LISSET ROJAS PEQUEÑO</t>
  </si>
  <si>
    <t>55122108 / 55122108</t>
  </si>
  <si>
    <t>ALEXIS MOULTON ROJAS</t>
  </si>
  <si>
    <t>51405337 / 51405337</t>
  </si>
  <si>
    <t>1 PISCINA</t>
  </si>
  <si>
    <t>ELOY CHAVECO PEREZ</t>
  </si>
  <si>
    <t>58451535 / 58451535</t>
  </si>
  <si>
    <t>NOEL VILTRE GONZALEZ</t>
  </si>
  <si>
    <t>53684257 / 53684257</t>
  </si>
  <si>
    <t>JOSE LUIS TORRES CUEVAS</t>
  </si>
  <si>
    <t>54751327 / 54751327</t>
  </si>
  <si>
    <t>MISCELANIA ,UNA PLANCHA</t>
  </si>
  <si>
    <t>ROPA, CALZADO ALIMENTO Y MEDICINAS</t>
  </si>
  <si>
    <t>ANA MARGARITA FERNANDEZ RODRIGUEZ</t>
  </si>
  <si>
    <t>58024034 / 58024034</t>
  </si>
  <si>
    <t>ROPA , CALZADO MISCELANIA , MEDICINA</t>
  </si>
  <si>
    <t>JUEGO DE OLLAS DE 6 PIEZAS , CALZADO, ASEO ALIMENTO</t>
  </si>
  <si>
    <t>DAGMARIS CARIDAD CASTILLO GIRAUDIS</t>
  </si>
  <si>
    <t>ROPA, MISCELANIA Y ASEO</t>
  </si>
  <si>
    <t>JUEGOS DE SABANAS, ASEO ROPA , MISCELANIA MEDICINA</t>
  </si>
  <si>
    <t>51752384 / 51752384</t>
  </si>
  <si>
    <t>MEDICINA, ALIMENTO , ROPA MISCELANIA</t>
  </si>
  <si>
    <t>DAMARY ECHEVARRIA CABRERA</t>
  </si>
  <si>
    <t>58542079 / 58542079</t>
  </si>
  <si>
    <t>ALIMENTO , ASEO</t>
  </si>
  <si>
    <t>1 PARRILLA DE INDUCCION ,1 LICUADORA, NEBULIZADOR , ROPA , CALZADO , ALIMENTO , MISCELANIA</t>
  </si>
  <si>
    <t>55172793 / 55172793</t>
  </si>
  <si>
    <t>ROPA , CALZADO , ALIMENTO , MISCELANIA</t>
  </si>
  <si>
    <t>ROPA, UNA OLLA ARROCERA , MOCHILA MISCELANIA</t>
  </si>
  <si>
    <t>IROCHI RODRIGUEZ LEDESMA</t>
  </si>
  <si>
    <t>58733438 / 58733438</t>
  </si>
  <si>
    <t>MISCELANIA Y ROPA</t>
  </si>
  <si>
    <t>ELIZABETH SALGADO DOMINGUEZ</t>
  </si>
  <si>
    <t>59729027 / 59729027</t>
  </si>
  <si>
    <t>CALZADO, UTILES DEL HOGAR, MISCELANIA</t>
  </si>
  <si>
    <t>IMPRESORA CON JUEGO DE TINTAS,1 VENTILADOR, OLLA DE PRESION, ROPA, ARTICULO DE ASEO, MISCELANIA</t>
  </si>
  <si>
    <t>HECTOR CARLOS MIRANDA FERNANDEZ</t>
  </si>
  <si>
    <t>53932823 / 53932823</t>
  </si>
  <si>
    <t>ROPA, ASEO, ALIMENTO , MEDICINA, MISCELANIA</t>
  </si>
  <si>
    <t>YUNET TAHIMI HERNANDEZ VAZQUEZ</t>
  </si>
  <si>
    <t>58090151 / 58090151</t>
  </si>
  <si>
    <t>CONFITURAS Y MEDICINA</t>
  </si>
  <si>
    <t>YAKELIN TUMBARELL GUTIERREZ</t>
  </si>
  <si>
    <t>54970726 / 54970726</t>
  </si>
  <si>
    <t>MISCELANIA, ALIMENTO , MEDICINA , ASEO</t>
  </si>
  <si>
    <t>MADAYS GONZALEZ BORGES</t>
  </si>
  <si>
    <t>56957470 / 56957470</t>
  </si>
  <si>
    <t>ASEO ALIMENTO , ROPA MISCELANIA</t>
  </si>
  <si>
    <t>JEAN MENDOZA GUILARTE</t>
  </si>
  <si>
    <t>53862942 / 53862942</t>
  </si>
  <si>
    <t>58510246 / 58510246</t>
  </si>
  <si>
    <t>ROPA, ALIMENTO MISCELANIA</t>
  </si>
  <si>
    <t>DANNY ARMANDO BAEZ MARTINEZ</t>
  </si>
  <si>
    <t>53434717 / 53434717</t>
  </si>
  <si>
    <t>MISCELANIA, ASEO , ALIMENTO ,ROPA</t>
  </si>
  <si>
    <t>ERICK ARGUELLEZ GUEVARA</t>
  </si>
  <si>
    <t>52385214 / 52385214</t>
  </si>
  <si>
    <t>MISCELANIA, ALIMENTO Y ASEO</t>
  </si>
  <si>
    <t>MILAGROS DE LA CARIDAD MIGUEZ TAPANES</t>
  </si>
  <si>
    <t>58115268 / 58115268</t>
  </si>
  <si>
    <t>CAMARAS DE VIGILANCIA, ROPA, CALZADO , MEDICINA</t>
  </si>
  <si>
    <t>MARILEXI DELIS RIZO</t>
  </si>
  <si>
    <t>58081501 / 58081501</t>
  </si>
  <si>
    <t>UTILES DE COCINA, ASEO, ZAPATO, , UNA OLLA ARROCERA, ROPA, MEDICINA . MISCELANIA</t>
  </si>
  <si>
    <t>LISANDRA DE LA CARIDAD GOMEZ CHAVEZ</t>
  </si>
  <si>
    <t>58510465 / 58510465</t>
  </si>
  <si>
    <t>ROPA, ASEO, UTILES DE OFICINA, MISCELANIA</t>
  </si>
  <si>
    <t>CAROLINA CABRERA NOVA</t>
  </si>
  <si>
    <t>58472617 / 58472617</t>
  </si>
  <si>
    <t>ROPA, ,ASEO , ALIMENTO , MEDICINA</t>
  </si>
  <si>
    <t>MARGARITA BONET CORZO</t>
  </si>
  <si>
    <t>50277214 / 50277214</t>
  </si>
  <si>
    <t>MISCELANIA, ROPA CALZADO, PRODUCTOS DE ASEO , CONDIMENTOS, ALIMENTO, MEDICINA</t>
  </si>
  <si>
    <t>PATRICIA GUEVARA FERRER</t>
  </si>
  <si>
    <t>54351764 / 54351764</t>
  </si>
  <si>
    <t>ROPA, CALZADO, MISCELANIA, BUJIA DE AUTOS</t>
  </si>
  <si>
    <t>AILENE CORBILLON GONZALEZ</t>
  </si>
  <si>
    <t>58343500 / 58343500</t>
  </si>
  <si>
    <t>ROPA, MISCELANIA, JUEGO DE SARTENES.</t>
  </si>
  <si>
    <t>JENNIFER GARCIA MIRANDA</t>
  </si>
  <si>
    <t>55285511 / 55285511</t>
  </si>
  <si>
    <t>YADIRA CLARA REYNALDO PEREZ</t>
  </si>
  <si>
    <t>58825589 / 58825589</t>
  </si>
  <si>
    <t>ROPA, CALZADO, MEDICINA, ASEO Y CONDIMENTOS</t>
  </si>
  <si>
    <t>TEODORO ELOY RIVERON PUPO</t>
  </si>
  <si>
    <t>55986398 / 55986398</t>
  </si>
  <si>
    <t>ROPA , CALZADO, UTILES DEL HOGAR</t>
  </si>
  <si>
    <t>MARISOL SANCHEZ CORDERO</t>
  </si>
  <si>
    <t>58203801 / 54733777</t>
  </si>
  <si>
    <t>JUEGOS DE SABANAS, MOSQUITEROS, ALIMENTOS , MEDICINA, MISCELANIA</t>
  </si>
  <si>
    <t>JORBELIS COBAS SUAREZ</t>
  </si>
  <si>
    <t>58545763 / 58545763</t>
  </si>
  <si>
    <t>2 NEUMATICO DE MOTO,, CARGADOR DE BATERIA,ASEO, ROPA, MEDICINA</t>
  </si>
  <si>
    <t>NIURCA SILVIA SANCHEZ MAURY</t>
  </si>
  <si>
    <t>55633352 / 55633352</t>
  </si>
  <si>
    <t>ROPA, MISCELANIA, ASEO Y ALIMENTO</t>
  </si>
  <si>
    <t>MARTHA MANSO HERNANDEZ</t>
  </si>
  <si>
    <t>56206822 / 56206822</t>
  </si>
  <si>
    <t>ROPA, CALZADO, MISCELANIA, MEDICINAS</t>
  </si>
  <si>
    <t>CLAUDIA BEATRIZ ESTRADA GARCIA</t>
  </si>
  <si>
    <t>54579242 / 54579242</t>
  </si>
  <si>
    <t>ROPA, ZAPATO, MEDICINAS, UTILES DEL HOGAR</t>
  </si>
  <si>
    <t>SIRLEYDIS SERRANO MILANES</t>
  </si>
  <si>
    <t>58185294 / 58185294</t>
  </si>
  <si>
    <t>CORTADOR DE ESPECIE , JUEGO DE CUBIERTO , ASEO , MISCELANIA ROPA, ALIMENTO</t>
  </si>
  <si>
    <t>LETICIA ALVAREZ GIL</t>
  </si>
  <si>
    <t>53852381 / 53852381</t>
  </si>
  <si>
    <t>UTILES DE COCINA.ALIMENTO, ASEO , MEDICINA,</t>
  </si>
  <si>
    <t>EYISEL REYES RODRIGUEZ</t>
  </si>
  <si>
    <t>59894996 / 59894996</t>
  </si>
  <si>
    <t>UTILES DE CASA, ROPA, CALZADO, MISCELANIA,</t>
  </si>
  <si>
    <t>LORENYS CARIDAD TALAVERA REYES</t>
  </si>
  <si>
    <t>58511358 / 58511358</t>
  </si>
  <si>
    <t>MISCELANIA, ROPA , MEDICAMENTOS ALIMENTO</t>
  </si>
  <si>
    <t>MARICELA LAMOTH CASAMAYOR</t>
  </si>
  <si>
    <t>55633296 / 55633296</t>
  </si>
  <si>
    <t>1 DISCO DE FRENO MOTOR Y PIEZAS DE FRENO , ROPA, CALZADO,. ASEO PERSONAL</t>
  </si>
  <si>
    <t>DORA BORGES RAMIREZ</t>
  </si>
  <si>
    <t>54509482 / 54509482</t>
  </si>
  <si>
    <t>MISCELANIA, ASEO, ALIMENTO</t>
  </si>
  <si>
    <t>ADRIAN RAFAEL MERCADER AVILA</t>
  </si>
  <si>
    <t>63902665 / 63902665</t>
  </si>
  <si>
    <t>MISCELANIA , MEDICINA, ASEO 1 FREIDORA DE AIRE</t>
  </si>
  <si>
    <t>DIANA ROSA ALPIZAR BECIL</t>
  </si>
  <si>
    <t>54923385 / 54923385</t>
  </si>
  <si>
    <t>ROPA Y MEDICAMENTO</t>
  </si>
  <si>
    <t>ANA MARGARITA MANSO LOPEZ</t>
  </si>
  <si>
    <t>52557840 / 52557840</t>
  </si>
  <si>
    <t>MEDICAMENTO Y ASEO PERSONAL</t>
  </si>
  <si>
    <t>CALZADO UTILES DEL HOGAR Y ESCOLARES</t>
  </si>
  <si>
    <t>ALIMENTO, MEDICINA, ASEO , CALZADO</t>
  </si>
  <si>
    <t>HERIBERTO PADILLA CORREA</t>
  </si>
  <si>
    <t>55912949 / 55912949</t>
  </si>
  <si>
    <t>1 MALETA, ROPA, CALZADO, MEDICINA Y ALIMENTOS</t>
  </si>
  <si>
    <t>ODALIS MUÑOZ MOYA</t>
  </si>
  <si>
    <t>56296551 / 56296551</t>
  </si>
  <si>
    <t>CEPILLO DE BANCO PARA MADERA</t>
  </si>
  <si>
    <t>MEDICAMENTO , ALIMENTO , ASEO Y ROPA</t>
  </si>
  <si>
    <t>MISAEL ALAIN SUAREZ ROMERO</t>
  </si>
  <si>
    <t>55773714 / 55773714</t>
  </si>
  <si>
    <t>LAVADORA CON ASEO</t>
  </si>
  <si>
    <t>AYLEN CINTRA SANCHEZ</t>
  </si>
  <si>
    <t>78733137 / 78733137</t>
  </si>
  <si>
    <t>1 CARGADOR DE BATERIA</t>
  </si>
  <si>
    <t>ESTANTES PLASTICO</t>
  </si>
  <si>
    <t>ANNY HERNANDEZ GONZALEZ</t>
  </si>
  <si>
    <t>53378198 / 53378198</t>
  </si>
  <si>
    <t>ESTANTES PLASTICOS</t>
  </si>
  <si>
    <t>MEDICINA, ADORNOS DE NAVIDAD , ROPA MISCELANIA</t>
  </si>
  <si>
    <t>OLEIMA MOGENA ARREVALO</t>
  </si>
  <si>
    <t>54676956 / 54676956</t>
  </si>
  <si>
    <t>MEDICINA, INSUMOS MEDICOS, ADORNOS DE NAVIDAD , PA ALES DE ADULTOS, MOCHILA</t>
  </si>
  <si>
    <t>YARA MONTES DE OCO MATAMOROS</t>
  </si>
  <si>
    <t>63813888 / 63813888</t>
  </si>
  <si>
    <t>OLLA ARROCERA, LECHE Y JABON</t>
  </si>
  <si>
    <t>CARLOS SARDI AS BENITEZ</t>
  </si>
  <si>
    <t>59941402 / 59941402</t>
  </si>
  <si>
    <t>BOMBA PREZURIZADORA , BOMBA DE AGUA</t>
  </si>
  <si>
    <t>RISLER PEREZ RODRIGUEZ</t>
  </si>
  <si>
    <t>54350098 / 54350098</t>
  </si>
  <si>
    <t>2 JARRAS DE HERVIR AGUA, 1 CAFETERA , ROPA, CALZADO, ASEO</t>
  </si>
  <si>
    <t>NIVIAS FONSECA SANS</t>
  </si>
  <si>
    <t>53463798 / 53463798</t>
  </si>
  <si>
    <t>INSUMOS MEDICOS , MEDICINAS, ASEO , ALIMENTO , ROPA MISCELANIA</t>
  </si>
  <si>
    <t>INSUMOS MEDICOS , ASEO, ROPA, MOCHILA, MEDICAMENTOS , MISCELANIA</t>
  </si>
  <si>
    <t>YENMA SILVA CASTILLO</t>
  </si>
  <si>
    <t>HORTENSIA UGANDO SALGADO</t>
  </si>
  <si>
    <t>72302532 / 54061450</t>
  </si>
  <si>
    <t>MISCELANEAS</t>
  </si>
  <si>
    <t>WALTER PUPO HIDALGO</t>
  </si>
  <si>
    <t>LETICIA CORELLA LPPEZ</t>
  </si>
  <si>
    <t>58590506 / 58590506</t>
  </si>
  <si>
    <t>PIEZAS Y ACCESORIOS MOTO</t>
  </si>
  <si>
    <t>CLAUDIA FERNANDEZ MESA</t>
  </si>
  <si>
    <t>DANIELA LOPEZ MESA</t>
  </si>
  <si>
    <t>55785768 / 55785768</t>
  </si>
  <si>
    <t>YAIMA MESA LOPEZ</t>
  </si>
  <si>
    <t>56668836 / 56668836</t>
  </si>
  <si>
    <t>PIEZAS DE AUTO/ MISCELANEAS</t>
  </si>
  <si>
    <t>PEDRO VELAZO JUAN</t>
  </si>
  <si>
    <t>CARLOS JOSUE PIÑEIRO TORRES</t>
  </si>
  <si>
    <t>53620588 / 56620588</t>
  </si>
  <si>
    <t>MISCELANEA Y ALIMENTO</t>
  </si>
  <si>
    <t>PEDRO ANTONIO HERNANDEZ PADRON</t>
  </si>
  <si>
    <t>53620220 / 53620220</t>
  </si>
  <si>
    <t>RAUL CRUZ RUIZ</t>
  </si>
  <si>
    <t>58924674 / 58924674</t>
  </si>
  <si>
    <t>LISANDRA LOBAINA NOA</t>
  </si>
  <si>
    <t>TALIA CARIDAD ALVAREZ CARO</t>
  </si>
  <si>
    <t>58915679 / 58915679</t>
  </si>
  <si>
    <t>EQUIPO MOTOSIERRA, TRITURADORADE HIELO, SIERRA</t>
  </si>
  <si>
    <t>ERNESTO IBAÑEZ ZAMORA</t>
  </si>
  <si>
    <t>LEONARDO MOLINA RODRIGUEZ</t>
  </si>
  <si>
    <t>56488691 / 56488691</t>
  </si>
  <si>
    <t>PARRILLA DE INDUCCION/CERRADURA/MISCELANEAS</t>
  </si>
  <si>
    <t>YUSIMI RODRIGUEZ AGUILA</t>
  </si>
  <si>
    <t>56488692 / 56488691</t>
  </si>
  <si>
    <t>CAJA ALIMENTOS</t>
  </si>
  <si>
    <t>LIZ CARMEN IBAÑEZ RODRIGUEZ</t>
  </si>
  <si>
    <t>56488691 / 56488692</t>
  </si>
  <si>
    <t>ALVARO JESUS GOMEZ AVILA</t>
  </si>
  <si>
    <t>ANTONIO SAAVEDRA COMPTIS</t>
  </si>
  <si>
    <t>54096545 / 54096545</t>
  </si>
  <si>
    <t>ODALYS MILANES MATOS</t>
  </si>
  <si>
    <t>YAIMA SILVEIRO MILANES</t>
  </si>
  <si>
    <t>58579920 / 58579920</t>
  </si>
  <si>
    <t>CAJA DE ASPIRADORAS</t>
  </si>
  <si>
    <t>YANAY MILANES MATOS</t>
  </si>
  <si>
    <t>MILIO BRAVO TORRES</t>
  </si>
  <si>
    <t>78732331 / 52635999</t>
  </si>
  <si>
    <t>ROPA, ALIMENTO ,MEDICINA,DECORACION DE CUMPLEAñOS, JUGUETES</t>
  </si>
  <si>
    <t>ASEO, ALIMENTO, ROPA, MISCELANIA</t>
  </si>
  <si>
    <t>CALLE 6NE # 8501 E/ 85 Y 87, TULIPAN, CIENFUEGOS, CIENFUEGOS</t>
  </si>
  <si>
    <t>CAV</t>
  </si>
  <si>
    <t>LA LISA</t>
  </si>
  <si>
    <t>PLAYA</t>
  </si>
  <si>
    <t>DIEZ DE OCTUBRE</t>
  </si>
  <si>
    <t>BOYEROS</t>
  </si>
  <si>
    <t>SAN MIGUEL DEL PADRON</t>
  </si>
  <si>
    <t>PLAZA</t>
  </si>
  <si>
    <t>CENTRO HABANA</t>
  </si>
  <si>
    <t>MARIANAO</t>
  </si>
  <si>
    <t>GUANABACOA</t>
  </si>
  <si>
    <t>CERRO</t>
  </si>
  <si>
    <t>HABANA DEL ESTE</t>
  </si>
  <si>
    <t>ARROYO NARANJO</t>
  </si>
  <si>
    <t>AVE. 31 # 24607 E/ 246 Y 250, SAN AGUSTIN, LA LISA</t>
  </si>
  <si>
    <t>CALLE 148 # 907 E/ 9NA Y 9NA A, CUBANACAN, PLAYA</t>
  </si>
  <si>
    <t>ARTEMISA</t>
  </si>
  <si>
    <t>SAN CRISTOBAL</t>
  </si>
  <si>
    <t>CAIMITO</t>
  </si>
  <si>
    <t>BAUTA</t>
  </si>
  <si>
    <t>CALLE 18 # 2914 E/ 29 Y 31, ARTEMISA</t>
  </si>
  <si>
    <t>CALLE IGNACIO HUMARA # 140 E/ MANUEL ORTEGA Y HETRMANOS CONCEPCION, SAN CRISTOBAL</t>
  </si>
  <si>
    <t>CALLE 36 # 5917, CAIMITO</t>
  </si>
  <si>
    <t>AVE 251 # 13612 E/ 136 Y 138, BAUTA</t>
  </si>
  <si>
    <t>CALLE 41, EDIF 7 APTO. 4 E/ 2D Y 2E, ARTEMISA</t>
  </si>
  <si>
    <t>CALLE 26 # 4305 E/ 43 Y 45, ARTEMISA</t>
  </si>
  <si>
    <t>CALLE 7 # 1216 E/ 12 Y 18, CASERIO EL CALIXTO, ARTEMISA</t>
  </si>
  <si>
    <t>CIEGO DE AVILA</t>
  </si>
  <si>
    <t>CALLE BENAVIDES # 219 E/ ARNALDO RAMIREZ Y ONELIO HERNANDEZ, VISTA HERMOSA, CIEGO DE AVILA</t>
  </si>
  <si>
    <t>CIENFUEGOS</t>
  </si>
  <si>
    <t>ABREUS</t>
  </si>
  <si>
    <t>CALLE ANTONIO MACEO # 063B E/ CAMILO CIENFUEGOS Y AVE. LIBERTAD, ABREUS</t>
  </si>
  <si>
    <t>AVE. 26, EDIF 5 APTO. 1 E/ 51A Y 55, CIENFUEGOS</t>
  </si>
  <si>
    <t>CAMAGUEY</t>
  </si>
  <si>
    <t>CALLE 3RA, EL JARDIN # 42A E/ A Y B, CAMAGUEY</t>
  </si>
  <si>
    <t>CALLE IGNACIO AGRAMONTE # 157 E/ PALMA Y ROSARIO, CAMAGUEY,</t>
  </si>
  <si>
    <t>AVE. SANTA AMALIA # 114 ALTOS E/ DOLORES Y SANTA ISABEL, SANTA AMALIA, ARROYO NARANJO</t>
  </si>
  <si>
    <t>CALLE 5TA  # 55 E/ CALZADA DE BEJUCAL Y A, POEY, ARROYO NARANJO</t>
  </si>
  <si>
    <t>CALZADA SAN MIGUEL DEL PADRON # 22533 E/ OTERO Y SANFRANCISCO, MIRADOPR DEL DIEZMERO, SAN MIGUEL DEL PADRON</t>
  </si>
  <si>
    <t>CALLE BLUME RAMOS # 226 ALTOS E/ ULACIA Y CASTILLO, JUANELO, SAN MIGUEL DEL PADRON</t>
  </si>
  <si>
    <t>CALLE 162 # 37724 E/ 377 Y 385, MULGOBA, BOYEROS</t>
  </si>
  <si>
    <t>CALLE 164 CMF 96 E/ 313 Y 315, LUTGARDITA, BOYEROS</t>
  </si>
  <si>
    <t>CALLE 174 # 39307 E/ 393 Y 395, VILLANUEVA, SANTIAGO DE LAS VEGAS BOYEROS</t>
  </si>
  <si>
    <t>CALLE 18 EDIF 13203 APTO. 2 E/ EMBIL Y PARQUE OESTE, EMBIL, BOYEROS</t>
  </si>
  <si>
    <t>CALLE HOSPITAL # 61 E/ 25 Y HUMBOLTH, CENTRO HABANA</t>
  </si>
  <si>
    <t>CALLE JESUS PEREGRINO # 110 E/ MARQUEZ GONZALEZ Y SANTIAGO, CENTRO HABANA</t>
  </si>
  <si>
    <t>CALLE SAN RAFAEL # 567 E/ GERASIO Y ESCOBAR, CENTRO HABANA</t>
  </si>
  <si>
    <t>CALLE ZANJA EDIF 513 APTO. 3 E/ MARQUEZ GONZALEZ Y SANTIAGO, CENTRO HABANA</t>
  </si>
  <si>
    <t>CALLE 20 DE MAYO, EDIF CENTRO CIVICO # 659 E/ PACHITO GOMEZ Y MASO, CERRO</t>
  </si>
  <si>
    <t>CALLE CHAPLE # 812 E/ AGUA Y SANTA LUTGARDA, PALATINO, CERRO</t>
  </si>
  <si>
    <t>CALLE CORTINA # 151B E/ LIBERTAD Y ESTRADA PALMA, SANTO SUAREZ, DIEZ DE OCTUBRE</t>
  </si>
  <si>
    <t>CALLE DUREGES # 204 E/ SANTA EMILIA Y SANTO SUAREZ, SANTO SUAREZ, DIEZ DE OCTUBRE</t>
  </si>
  <si>
    <t>CALLE LOPEZ # 16 E/ CESPEDES Y AGUILERA, DIEZ DE OCTUBRE</t>
  </si>
  <si>
    <t>CALLE MILAGROS # 258 E/ ARMAS Y LAWTON, DIEZ DE OCTUBRE</t>
  </si>
  <si>
    <t>CALLE ROSA ENRIQUE # 256 E/ ENNA Y VELAZQUES, LUYANO, DIEZ DE OCTUBRE</t>
  </si>
  <si>
    <t>CALLE 7MA # 165 E/ 6TA Y 8VA, SAN MATIAS, SAN MIGUEL DEL PADRON</t>
  </si>
  <si>
    <t>CALLE 37 # 162 E/ 6 Y LOMA, NUEVO VEDADO, PLAZA</t>
  </si>
  <si>
    <t>CALLE 11 # 1301 E/ 22 Y 24, PLAZA</t>
  </si>
  <si>
    <t>AVE. EL BOSQUE # 154 ALTOS E/ CALLE 36 Y AVE. ZOOLOGICO, PLAZA</t>
  </si>
  <si>
    <t>CALLE 7MA A # 28228 E/ 282 Y 284, SANTA FE, PLAYA</t>
  </si>
  <si>
    <t>CALLE 56 EDIF 3507 APTO. 6 E/ 35 Y 37, PLAYA</t>
  </si>
  <si>
    <t>CALLE 16 # 5 E/ LINEA Y CALZADA, PLAZA</t>
  </si>
  <si>
    <t>CALLE 35 # 2623 E/ CALLE 26 Y 30, PLAYA</t>
  </si>
  <si>
    <t>CALLE 35 # 12207 E/ 120 Y 120 A, ZAMORA, MARIANAO</t>
  </si>
  <si>
    <t>AVE. 27, EDIF 4418 E/ 44 Y 46, PLAYA</t>
  </si>
  <si>
    <t>AVE. 9 # 6007 E/ 60 Y 62, PLAYA</t>
  </si>
  <si>
    <t>CALLE SANTA CATALINA # 27 E/ DIEZ DE OCTUBRE Y BUENA VENTURA, LAWTON, DIEZ DE OCTUBRE</t>
  </si>
  <si>
    <t>CALLE SANTA MARIA # 244 E/ CONCHA Y MACEO, GUANABACOA</t>
  </si>
  <si>
    <t>CALLE SANTA MARIA # 321 E/ CARDENAS Y MAXIMO GOMEZ, GUANABACOA</t>
  </si>
  <si>
    <t>CALLE 11C, EDIF 14A APTO. 5 E/ 92 Y 94, BAHIA, HABANA DEL ESTE</t>
  </si>
  <si>
    <t>CALLE 1RA B, EDIF 506 APTO. 8, CAMILO CIENFUEGOS, HABANA DEL ESTE</t>
  </si>
  <si>
    <t>CALLE 82 EDIF TRIPLANTA 78A24 APTO. 2E/ 11C Y 13,  ANTONIO GUITERAS, HABANA DEL ESTE</t>
  </si>
  <si>
    <t>CALLE 156 # 7108 E/ 71 Y 83, LA LISA</t>
  </si>
  <si>
    <t>CALLE 234 EDIF. 2904 APTO. 2 INT E/ AVE. 29 Y AVE. 31, SAN AGUSTIN, LA LISA</t>
  </si>
  <si>
    <t>AVE. 37 # 14011 E/ 140 Y 142, MARIANAO</t>
  </si>
  <si>
    <t>AVE. 51 # 14017 E/ 140 Y 142, MARIANAO</t>
  </si>
  <si>
    <t>AVE. 55 EDIF 7218 APTO. 4 E/ 72 Y 74, MARIANAO</t>
  </si>
  <si>
    <t>CALLE 126, INTERIOR # 3110 E/ 31 Y 33, MARIANAO</t>
  </si>
  <si>
    <t>HOLGUIN</t>
  </si>
  <si>
    <t>JOBABO</t>
  </si>
  <si>
    <t>MOA</t>
  </si>
  <si>
    <t>BAYAMO</t>
  </si>
  <si>
    <t>CALIXTO GARCIA</t>
  </si>
  <si>
    <t>BANES</t>
  </si>
  <si>
    <t>MAYARI</t>
  </si>
  <si>
    <t>MANZANILLO</t>
  </si>
  <si>
    <t>FRANK PAIS</t>
  </si>
  <si>
    <t>JESUS MENENDEZ</t>
  </si>
  <si>
    <t>GIBARA</t>
  </si>
  <si>
    <t>LAS TUNAS</t>
  </si>
  <si>
    <t>ANTILLA</t>
  </si>
  <si>
    <t>NIQUERO</t>
  </si>
  <si>
    <t>CALLE CRISTINO NARANJO # 25F E/ 25 Y RIO, 26 DE JULIO, HOLGUIN</t>
  </si>
  <si>
    <t>EDIF 4 APTO. 6, ALEX URQUIOLA, HOLGUIN</t>
  </si>
  <si>
    <t>CALLE 50 # 23 E/ CALLE 17 Y CALLE 13, ARGENTINA SUR, JOBABO</t>
  </si>
  <si>
    <t>CALLE RENATO GUITAR # 17A, ASERRIO, MOA</t>
  </si>
  <si>
    <t>CALLE PARADA # 200 E/ ZENEA Y 26 DE JULIO, BAYAMO</t>
  </si>
  <si>
    <t>GRM</t>
  </si>
  <si>
    <t>LTU</t>
  </si>
  <si>
    <t>CALLE LUNA # 18, LAS BRISAS, POBLADO BUENAVENTURA, CALIXTO GARCIA, HOLGUIN</t>
  </si>
  <si>
    <t>CALLE PEDRO CALDERON # 14A, MARIANA GRAJALES, BANES</t>
  </si>
  <si>
    <t>CALLE 6TA # 21, LA PEDRONA, MAYARI</t>
  </si>
  <si>
    <t>CALLE GUITERAS # 144A E/ 49 Y LIDICE, MAYARI</t>
  </si>
  <si>
    <t>EDIF 9 BEISBOLITO APTO. 5, NUEVO MANZANILLO, MANZANILLO</t>
  </si>
  <si>
    <t>CALLE 8 PEATONAL EDIF 46 APTO. 2 E/ CALLE 8 Y CALLE PEATONAL 6 D, VILLANUEVA 3, HOLGUIN</t>
  </si>
  <si>
    <t>CALLE 1RO DE MAYO # 55, LA BOMBA, FRANK PAIS</t>
  </si>
  <si>
    <t>CALLE OSVALDO HERRERA # 40 ALTOS E/ FELINO FIGUEREDO Y 2DA, JESUS MENENEDEZ, BAYAMO</t>
  </si>
  <si>
    <t>CALLE 37 # 16, EL BATEY, JESUS MENENDEZ</t>
  </si>
  <si>
    <t>CALLE 3RA # 81A E/ 2DA Y 3RA, JESUS MENENDEZ, BAYAMO</t>
  </si>
  <si>
    <t>CALLE MARTIRES # 118 E/ 118 Y FRETXES, HOLGUIN</t>
  </si>
  <si>
    <t>CALLE 8VA # 54 E/ 9NA Y BUENA VISTA, FORNET, HOLGUIN</t>
  </si>
  <si>
    <t>CALLE 24 # 606 E/ VICENTE QUESADA Y 29, BAYAMO</t>
  </si>
  <si>
    <t>CALLE AGRAMONTE # 92 E/ INDEPENDENCIA Y SARTORIO, GIBARA</t>
  </si>
  <si>
    <t>CALLE JULIAN SANTANA # 105F E/ LORA Y NICOLAS HEREDIA, PRIMERO, LAS TUNAS</t>
  </si>
  <si>
    <t>CALLE GARAYALDE # 34 E/ 20 DE MAYO Y INDEPENDENCIA, VISTA ALEGRE, HOLGUIN,</t>
  </si>
  <si>
    <t>CALLE DOSITEO AGUILERA # 1E E/ CALLE 24 Y CALLE FINAL, CENTRO CIUDAD, HOLGUIN</t>
  </si>
  <si>
    <t>CALLE PRADO # 206 ALTOS E/ NARCISO LOPEZ Y CERVANTES, HOLGUIN</t>
  </si>
  <si>
    <t>AVE. DE CARDENAS EDIF. 327 APTO. 4 E/ CARLOS MANUEL DE CESPEDES Y TRAFICO, BANES</t>
  </si>
  <si>
    <t>CALLE JOSE MARTI # 38, CALICITO, MANZANILLO</t>
  </si>
  <si>
    <t>CALLE JUAN MANUEL MARQUEZ # 4 E/ DIEGO MANUEL YEBRA Y JOSE MARTI, ANTILLA</t>
  </si>
  <si>
    <t>CALLE LIBERTAD # 208 ALTOS E/ MACEO Y MASO, GUTIERREZ, MANZANILLO</t>
  </si>
  <si>
    <t>CALLE MAXIMO GOMEZ # 67, MAYARI</t>
  </si>
  <si>
    <t>CALLE BATEY CENTRAL # 2, NIQUERO</t>
  </si>
  <si>
    <t>CALLE ERADIO DOMINGUEZ # 21 E/ CALLE 13 Y REYNERIO ALMAGUER, LA ADUANA, HOLGUIN</t>
  </si>
  <si>
    <t>CALLE JOSE RAMON QUINTANA # 251, DELEYTE, BANES</t>
  </si>
  <si>
    <t>CALLE 1RO DE MAYO # 55, POBLADO LA BOMBA, FRANK PAIS</t>
  </si>
  <si>
    <t>CALLE 6 # 105 E/ 25 Y 19, MANOPLA, BAYAMO</t>
  </si>
  <si>
    <t>CALLE 21,EDIF 44 APTO. 3 E/ 8 Y 12, VILLANUEVA, HOLGUIN</t>
  </si>
  <si>
    <t>AVE 8VA, EDIF 51 APTO. A7 E/ 11 Y 13, NUEVO MANZANILLO, MANZANILLO</t>
  </si>
  <si>
    <t>CALLE 12, EDIF 19 APTO. 6 DE LOS MEDICOS, 3ER PISO, VILLANUEVA, HOLGUIN</t>
  </si>
  <si>
    <t>GUINES</t>
  </si>
  <si>
    <t>CALLE 98 # 8504 E/ 85 Y 91, GUINES</t>
  </si>
  <si>
    <t>PINAR DEL RIO</t>
  </si>
  <si>
    <t>CONSOLACION DEL SUR</t>
  </si>
  <si>
    <t>MINAS DE MATAHAMBRE</t>
  </si>
  <si>
    <t>GUANE</t>
  </si>
  <si>
    <t>LA PALMA</t>
  </si>
  <si>
    <t>CALLE ANTONIO TARAFA # 356 ALTO E/ C Y D, JACINTO, PINAR DEL RIO</t>
  </si>
  <si>
    <t>CALLE PEDRO TELLEZ # 359 E/ CAPITAN SAN LUIS Y LUIS PEREZ, VILLAMIL, PINAR DEL RIO</t>
  </si>
  <si>
    <t>CALLE 19 # 2405 E/ 24 Y 26, HERRADURA, CONSOLACION DEL SUR</t>
  </si>
  <si>
    <t>CARRETERA A LUIS LAZO KM 4 1/2  # 18A, PINAR DEL RIO</t>
  </si>
  <si>
    <t>CALLE CAPITAN ANTONIO RODRIGUEZ # 49A, POBLADO SABALO, GUANE</t>
  </si>
  <si>
    <t>CALLE 25 # 21A30 E/ 40 Y 42, POBLADO HERRADURA, CONSOLACION DEL SUR</t>
  </si>
  <si>
    <t>CARRETERA A HERRADURA KM 1 1/2 . COOPERATIVA AVILIO CASTRO. BARRIO CEO CORO, ENTRONQUE HERRADURA, CONSOLACION DEL SUR</t>
  </si>
  <si>
    <t>CALLE 35 # 3505 E/ 35 Y 37, POBLADO HERRADURA, CONSOLACION DEL SUR</t>
  </si>
  <si>
    <t>CALLE 29 EDIF. 5 APTO. 3 E/ 28 Y 30, POBLADO HERRADURA, CONSOLACION DEL SUR</t>
  </si>
  <si>
    <t>PUEBLO VIEJO. PRINCIPAL. POBLADO SAN ANDRES, LA PALMA</t>
  </si>
  <si>
    <t>CARRETERA LUIZ LAZO KM 31 1/2. POBLADO SUMIDERO, MINAS DE MATAHAMBRE</t>
  </si>
  <si>
    <t>CALLE D # 9A E/ 1ERA Y 2DA, MINAS DE MATAHAMBRE</t>
  </si>
  <si>
    <t>CARRETERA A VIÑALES KM 2 1/2 FRENTE AL CAMINO DE LOS CARRETONES # 108 ALTOS, PINAR DEL RIO</t>
  </si>
  <si>
    <t>AVE. VIÑALES PASAJE 26 # 11 E/ RAFAEL MORALES Y A2, PEPE CHEPE, PINAR DEL RIO</t>
  </si>
  <si>
    <t>CALLE 6TA # 22 E/ A Y B, CEFERINO FERNANDEZ, PINAR DEL RIO</t>
  </si>
  <si>
    <t>CALLE A FINAL # 55 E/ CALLE PRIMERA Y ANTONIO GUITERAS, JACINTO, PINAR DEL RIO</t>
  </si>
  <si>
    <t>CALLE E FINAL EDIF. LA PESCA 1 # 3, JACINTO, PINAR DEL RIO</t>
  </si>
  <si>
    <t>EDIF. 24 MICRODISTRITO V APTO. 5, HERMANOS CRUZ, PINAR DEL RIO</t>
  </si>
  <si>
    <t>EDIF 8 APTO. 6, HERMANOS CRUZ, PINAR DEL RIO</t>
  </si>
  <si>
    <t>CALLE ISIDRO DE ARMAS # 29 E/ 1RO DE MAYO Y GERARDO MEDINA, PINAR DEL RIO</t>
  </si>
  <si>
    <t>CARRETERA A KM 1 # 53B ALTOS, PEPE CHEPE, PINAR DEL RIO</t>
  </si>
  <si>
    <t>CARRETERA AUTOPISTA PINAR DEL RIO A LA HABANA KM 1 1/2, PINAR DEL RIO</t>
  </si>
  <si>
    <t>CALLE SEGUNDA BLOQUE 9 # C E/ B Y C, HERMANOS CRUZ, PINAR DEL RIO</t>
  </si>
  <si>
    <t>SANTIAGO DE CUBA</t>
  </si>
  <si>
    <t>PALMA SORIANO</t>
  </si>
  <si>
    <t>CONTRAMAESTRE</t>
  </si>
  <si>
    <t>GUANTANAMO</t>
  </si>
  <si>
    <t>CAIMANERA</t>
  </si>
  <si>
    <t>MELLA</t>
  </si>
  <si>
    <t>SEGUNDO FRENTE</t>
  </si>
  <si>
    <t>MANUEL TAMES</t>
  </si>
  <si>
    <t>BARACOA</t>
  </si>
  <si>
    <t>CALLE BLANCO # 318 ALTOS E/ 5 Y 6, PORTUONDO, SANTIAGO DE CUBA</t>
  </si>
  <si>
    <t>CALLE SEGUNDA # 15 E/ B Y C, CENTRAL DOS RIOS, PALMA SORIANO</t>
  </si>
  <si>
    <t>CALLE TROCHA # 165B E/ RABY Y CALLEJON SANTIAGO, SANTIAGO DE CUBA</t>
  </si>
  <si>
    <t>CALLE 22 # 18A E/ 13 Y 15, FRANK PAIS, CONTRAMAESTRE</t>
  </si>
  <si>
    <t>AVE. FORMADORA BIPLANTA 8 APTO. 1, OBRERO, GUANTANAMO</t>
  </si>
  <si>
    <t>CALLE 3RA # 151 ALTOS E/ 6TA Y 4TA, RUBEN LOPEZ SABARIEGO, GUANTANAMO</t>
  </si>
  <si>
    <t>CALLE 3RA EDIF 20 APTO. 16 E/ CARRIL Y CARRETERA, CAIMANERA</t>
  </si>
  <si>
    <t>CALLE 17 NORTE EDIF. 83A RPTO. 3 E/ 6 OESTE Y 7 OESTE, CARIBE, GUANTANAMO</t>
  </si>
  <si>
    <t>CALLE CUARTEL # 313 E/ 6 Y 7 NORTE, GUANTANAMO</t>
  </si>
  <si>
    <t>GTM</t>
  </si>
  <si>
    <t>AVE. DE MARMOL # 28A E/ C Y E, MARMOL, SANTIAGO DE CUBA</t>
  </si>
  <si>
    <t>AVE. LOS PINOS # 103 E/ A Y MARIANA GRAJALES, JIMENEZ, SANTIAGO DE CUBA</t>
  </si>
  <si>
    <t>CALLE 14 NORTE EDIF. 87 APTO. 3017 B E/ BENEFICIENCIA Y SAN LINO, CARIBE, GUANTANAMO</t>
  </si>
  <si>
    <t>CALLE 15 SUR # 1017 E/ 6 Y 7 OESTE, GUANTANAMO</t>
  </si>
  <si>
    <t>CALLE 18 NORTE EDIF. 1 APTO. 5 E/ 4 Y 5 OESTE, CARIBE, GUANTANAMO</t>
  </si>
  <si>
    <t>CALLE 1RO DE ABRIL # 303 E/ 6 Y 8, CAMILO CIENFUEGOS, BARACOA</t>
  </si>
  <si>
    <t>CALLE 5TA # 15 E/ D Y E, 28 DE SEPTEIMBRE, PALMA SORIANO</t>
  </si>
  <si>
    <t>CALLE 7 OESTE EDIF 62 APTO. 424B E/ 16 Y 17 NORTE, CARIBE, GUANTANAMO</t>
  </si>
  <si>
    <t>CALLE 9 # 6A, RODOLFO RODRIGUEZ, CONTRAMAESTRE</t>
  </si>
  <si>
    <t>CALLE B 32 DISTRITO JOSE MARTI, SANTIAGO DE CUBA</t>
  </si>
  <si>
    <t>CONSULTORIO MEDICO DE LA FAMILIA 3, NITO ORTEGA, PALMA SORIANO</t>
  </si>
  <si>
    <t>CALLE EDIF 5 ESCALERA 1 APTO. 5, MICRO 1 B ABEL SANTAMARIA, SANTIAGO DE CUBA</t>
  </si>
  <si>
    <t>CALLE EDIF. A 39 APTO. 6, 3ER PISO, DISTRITO ANTONIO MACEO, SANTIAGO DE CUBA</t>
  </si>
  <si>
    <t>CALLE EDIF TRIPLANTA 4 APTO. 2, MICRO 3 ABEL SANTAMARIA, SANTIAGO DE CUBA</t>
  </si>
  <si>
    <t>EDIF J 37 DISTRITO JOSE MARTI RPTO. 3, SANTIAGO DE CUBA</t>
  </si>
  <si>
    <t>CALLE JOSE MARTI # 1007 A E/ DONATO MARMOL Y BARTOLOME MASO, GUANTANAMO</t>
  </si>
  <si>
    <t>CALLE JOSE MARTI # 126, JAMAICA, MANUEL TAMES</t>
  </si>
  <si>
    <t>CALLE K # 10 E/ AVE. GARZON Y SEGUNDA, SUEÑO, SANTIAGO DE CUBA</t>
  </si>
  <si>
    <t>CALLE LA PALMA # 202, MELLA</t>
  </si>
  <si>
    <t>CALLE MARTI # 817 E/ AGUILERA Y PRADO, GUANTANAMO</t>
  </si>
  <si>
    <t>CALLE NUEVA # 3 E/ MARTI Y SAN ANTONIO, SANTIAGO DE CUBA</t>
  </si>
  <si>
    <t>CALLE PROLONGACION DE CALVARIO NESTOR REGINFO SANCHEZ # 161 ALTOS E/ RIUS RIVERA Y HERMANOS TUDELA, VEGUITA DE GALO, SANTIAGO DE CUBA</t>
  </si>
  <si>
    <t>CALLE PROLONGACION DE RASTRO # 38 E/ MARTI Y YARAYO, LOS OLMOS, SANTIAGO DE CUBA</t>
  </si>
  <si>
    <t>CALLE RUBER LOPEZ # 14 E/ RAFAEL TREJO Y FRANK PAIS, BARACOA</t>
  </si>
  <si>
    <t>CALLE SANTA BARBARA # 36 E/ C Y D, JIMENEZ, SANTIAGO DE CUBA</t>
  </si>
  <si>
    <t>CALLE TONY ALOMA # 46, VISTA HERMOSA, POBLADO MAYARI ARRIBA, SEGUNDO FRENTE</t>
  </si>
  <si>
    <t>CALLE TROCHA # 165B E/ RABY Y CALLEJON, SANTIAGO DE CUBA</t>
  </si>
  <si>
    <t>CALLE VALPARAISO # 17 ALTOS E/ CALLE BUENOS AIRES Y BARCELONA, RAJAYOGA, SANTIAGO DE CUBA</t>
  </si>
  <si>
    <t>SANTIC SPIRITUS</t>
  </si>
  <si>
    <t>SANTA CLARA</t>
  </si>
  <si>
    <t>CAMAJUANI</t>
  </si>
  <si>
    <t>SAGUA LA GRANDE</t>
  </si>
  <si>
    <t>CORRALILLO</t>
  </si>
  <si>
    <t>YAGUAJAY</t>
  </si>
  <si>
    <t>CABAIGUAN</t>
  </si>
  <si>
    <t>ENCRUCIJADA</t>
  </si>
  <si>
    <t>PLACETAS</t>
  </si>
  <si>
    <t>CIFUENTES</t>
  </si>
  <si>
    <t>CARRETERA A MANICARAGUA CMF AL LADO DEL PUNTO RECOGIDA E/ CIRCUNVALACION Y PRIMERA, CHICHI PADRON, SANTA CLARA</t>
  </si>
  <si>
    <t>SSP</t>
  </si>
  <si>
    <t>CALLE 29 BIPLANTA 4 E/ 20 Y 22, 26 DE JULIO, SAGUA LA GRANDE</t>
  </si>
  <si>
    <t>CALLE RIOS RIVERA # 19A E/ CECILIO GONZALEZ Y POZO DULCE, SAGUA LA GRANDE</t>
  </si>
  <si>
    <t>CALLE ALBARRAN # 43A E/ QUINTIN BANDERA Y ROLOFF, PUEBLO NUEVO, SAGUA LA GRANDE</t>
  </si>
  <si>
    <t>CARRETERA FOMENTO, CMF 181 E/ 8VA DEL SUR Y 9NA DEL SUR, PLACETAS</t>
  </si>
  <si>
    <t>CALLE 2DA DEL SUR # 16 E/ CALLE MARTI Y MAXIMO GOMEZ, CABAIGUAN</t>
  </si>
  <si>
    <t>CALLE RAUL LARA # 16 E/ LEONCIO VIDAL Y CAMILO CIENFUEGOS, CAMAJUANI</t>
  </si>
  <si>
    <t>CALLE DAGOBERTO CUBELAS # 95 E/ MARTI Y ELEOPE PAZ, CAMAJUANI</t>
  </si>
  <si>
    <t>CALLE CUBA # 20 E/ JOAQUIN PANECA Y ANDRES CUEVAS, CAMAJUANI</t>
  </si>
  <si>
    <t>CARRETERA A MATA KM 1, EDIF. 1 APTO. 2 E/ 2DA, CIFUENTES</t>
  </si>
  <si>
    <t>CALLE SAN VICENTE, PUEBLO RANCHO VELOZ, CORRALILLO</t>
  </si>
  <si>
    <t>AVE. DECIMA SUR # 6 E/ CALZADA MACEO Y 2DA DEL ESTE, ENCRUCIJADA</t>
  </si>
  <si>
    <t>CALLE LIMA RECIO # 8 E/ CAMILO CIENFUEGOS Y YARA, YAGUAJAY</t>
  </si>
  <si>
    <t>CALLE JOSE MARTI # 13,  POBLADO PEREA, YAGUAJAY</t>
  </si>
  <si>
    <t>CALLE JOSE MIGUEL GOMEZ # 26B E/ MENESES, YAGUAJAY</t>
  </si>
  <si>
    <t>CALLE EDIF. 9A APTO. 17, OLIVOS 2, SANCTI SPIRITUS</t>
  </si>
  <si>
    <t>CALLE MARIANO HERNANDEZ # 79 ALTOS E/ BAYAMO Y LINEA, SANCTI SPIRITUS</t>
  </si>
  <si>
    <t>CALLE DOLORES # 2 E/ PLACIDO Y SAN VIDAL, SANCTI SPIRITUS</t>
  </si>
  <si>
    <t>CALLE CIRCUNVALANTE NUMERO 2 CMF 11, 26 DE JULIO, SANCTI SPIRITUS</t>
  </si>
  <si>
    <t>CALLE AMPLIACION DE 6TA # 37 E/ 6TA Y HUERTO ESCOLAR, KILO 12, SANCTI SPIRITUS</t>
  </si>
  <si>
    <t>CALLE MISIONERO # 175 E/ RODOLFO BANDERAS Y CICLON, CONDADO, SANTA CLARA</t>
  </si>
  <si>
    <t>CARRETERA DE MALEZA, EDIF 6 EDIF DEL PEDAGOJICO APTO. 19, CAMACHO, SANTA CLARA</t>
  </si>
  <si>
    <t>CARRETERA DE SAGUA KM 10 POBLADO HATILLO, SANTA CLARA</t>
  </si>
  <si>
    <t>AVE. ABEL SANTAMARIA EDIF. 9 APTO. 1 E/ G Y G2, JOSE MARTI, SANTA CLARA</t>
  </si>
  <si>
    <t>CALLE C CMF 24 3 E/ 4TA Y 5TA, LA VIGIA, SANTA CLARA</t>
  </si>
  <si>
    <t>CALLE MARTI # 10 E/ MAXIMO GOMEZ Y LORDA, EL CARMEN, SANTA CLARA</t>
  </si>
  <si>
    <t>CALLE 6TA # 4 INT B E/ PROLONGACION DE COLON Y CALLE 3RA, SAN DANIEL, SANTA CLARA</t>
  </si>
  <si>
    <t>CALLE EDIF 8 MANZANA 2 APTO. 9, JOSE MARTI, SANTA CLARA</t>
  </si>
  <si>
    <t>CALLE A # 48 E/ CALLE 5TA Y FINAL, BRISAS DEL CAPIRO, SANTA CLARA</t>
  </si>
  <si>
    <t>CALLE UNION # 408 E/ B Y VIGIA, SANTA CLARA</t>
  </si>
  <si>
    <t>CALLE 15 EDIF. 340 APTO. 16 E/ 13 Y CIRCUNVALACION, ESCAMBRAY, SANTA CLARA</t>
  </si>
  <si>
    <t>JAGUEY GRANDE</t>
  </si>
  <si>
    <t>MATANZAS</t>
  </si>
  <si>
    <t>CARDENAS</t>
  </si>
  <si>
    <t>PERICO</t>
  </si>
  <si>
    <t>AVE. 36 ESCALERA 565 E/ CALZADA Y CORONEL VERDUGO, CARDENAS</t>
  </si>
  <si>
    <t>AVE. SEXTA A # 1215 E/ 25 Y Y 26, CARDENAS</t>
  </si>
  <si>
    <t>CALLE JON PIO ALVAREZ # 21 E/ PIO ALAVREZ Y JOSE ANTONIO ECHEVARRIA, POBLADO MAXIMO GOMEZ, PERICO</t>
  </si>
  <si>
    <t>CALLE DAOIZ # 29409 E/ DOS DE MAYO Y MANZANEDA, MATANZA ESTE, MATANZAS</t>
  </si>
  <si>
    <t>CALLE 147 # 15642 E/ 156 Y 162, REYNOL GARCIA, MATANZAS</t>
  </si>
  <si>
    <t>CALLE 148 # 13102 E/ 131 Y 133, REYNOL GARCIA, MATANZAS</t>
  </si>
  <si>
    <t>CALLE 170 E/ 161 Y 163, LA IGLESIAS, MATANZAS</t>
  </si>
  <si>
    <t>CALLE 141 # 16623 E/ 166 Y 168, REYNOL GARCIA, MATANZAS</t>
  </si>
  <si>
    <t>CALLE SAN GABRIEL EDIF. 1 APTO. 5 E/ JESUS MARIA Y FORTUNA, LOS MANGOS, MATANZAS</t>
  </si>
  <si>
    <t>AVE. 2 # 6, CANTEL, CARDENAS</t>
  </si>
  <si>
    <t>CALLE DAOIS # 29409 E/ DOS DE MAYO Y MANZANEDA, MATANZA ESTE, MATANZAS</t>
  </si>
  <si>
    <t>CALLE SAN ESTEBAN E1 E/ INDEPENDENCIA Y CESPEDES, POBLADO AGRAMONTE, JAGUEY GRANDE</t>
  </si>
  <si>
    <t>CALLE IDIDORO BERUVIDES # 7 E/ MERCEDES Y SANTA MARIA, POBLADO AGRAMONTE, JAGUEY GRANDE</t>
  </si>
  <si>
    <t>CALLE 139 EDIF 18001 APTO. B1 E/ 180 Y 182, PEÑAS ALTAS, MATANZAS</t>
  </si>
  <si>
    <t>CALLE 254 # 14103 E/ 141 Y 147, MATANZAS</t>
  </si>
  <si>
    <t>CALLE 143 # 1 E/ 142 Y 154, REYNOL GARCIA, MATANZAS</t>
  </si>
  <si>
    <t>CALLE 65 # 30813 E/ 308 Y 310, LOS MANGOS, MATANZAS</t>
  </si>
  <si>
    <t>PAGAR</t>
  </si>
  <si>
    <t>CALLE PADRE CARMELO # 57 E/ PERU Y OJO DE AGUA, EL RETIRO, CAMAGUEY</t>
  </si>
  <si>
    <t>LUIS MIGUEL NUÑEZ CASTAÑEDA</t>
  </si>
  <si>
    <t>REYNEL LOPEZ CUTIÑO</t>
  </si>
  <si>
    <t>MARTA BEATRIZ CALDERIN DUEÑAS</t>
  </si>
  <si>
    <t>72749854</t>
  </si>
  <si>
    <t>53869763</t>
  </si>
  <si>
    <t>53407320</t>
  </si>
  <si>
    <t>51448815</t>
  </si>
  <si>
    <t>54769626</t>
  </si>
  <si>
    <t>59600357</t>
  </si>
  <si>
    <t>55529871</t>
  </si>
  <si>
    <t>72086165</t>
  </si>
  <si>
    <t>52723256</t>
  </si>
  <si>
    <t>52751582</t>
  </si>
  <si>
    <t>56289237</t>
  </si>
  <si>
    <t>50150790</t>
  </si>
  <si>
    <t>53280226</t>
  </si>
  <si>
    <t>55122108</t>
  </si>
  <si>
    <t>51405337</t>
  </si>
  <si>
    <t>58451535</t>
  </si>
  <si>
    <t>53684257</t>
  </si>
  <si>
    <t>54751327</t>
  </si>
  <si>
    <t>58024034</t>
  </si>
  <si>
    <t>53177201</t>
  </si>
  <si>
    <t>51752384</t>
  </si>
  <si>
    <t>58542079</t>
  </si>
  <si>
    <t>53984313</t>
  </si>
  <si>
    <t>55172793</t>
  </si>
  <si>
    <t>58733438</t>
  </si>
  <si>
    <t>59729027</t>
  </si>
  <si>
    <t>53932823</t>
  </si>
  <si>
    <t>58090151</t>
  </si>
  <si>
    <t>54970726</t>
  </si>
  <si>
    <t>56957470</t>
  </si>
  <si>
    <t>53862942</t>
  </si>
  <si>
    <t>53434717</t>
  </si>
  <si>
    <t>52385214</t>
  </si>
  <si>
    <t>58115268</t>
  </si>
  <si>
    <t>58081501</t>
  </si>
  <si>
    <t>58510465</t>
  </si>
  <si>
    <t>58472617</t>
  </si>
  <si>
    <t>50277214</t>
  </si>
  <si>
    <t>54351764</t>
  </si>
  <si>
    <t>58343500</t>
  </si>
  <si>
    <t>55285511</t>
  </si>
  <si>
    <t>58825589</t>
  </si>
  <si>
    <t>55986398</t>
  </si>
  <si>
    <t>58203801</t>
  </si>
  <si>
    <t>54733777</t>
  </si>
  <si>
    <t>58545763</t>
  </si>
  <si>
    <t>55633352</t>
  </si>
  <si>
    <t>56206822</t>
  </si>
  <si>
    <t>54579242</t>
  </si>
  <si>
    <t>58185294</t>
  </si>
  <si>
    <t>53852381</t>
  </si>
  <si>
    <t>59894996</t>
  </si>
  <si>
    <t>58511358</t>
  </si>
  <si>
    <t>55633296</t>
  </si>
  <si>
    <t>54509482</t>
  </si>
  <si>
    <t>63902665</t>
  </si>
  <si>
    <t>54923385</t>
  </si>
  <si>
    <t>52557840</t>
  </si>
  <si>
    <t>55912949</t>
  </si>
  <si>
    <t>56296551</t>
  </si>
  <si>
    <t>54367067</t>
  </si>
  <si>
    <t>55773714</t>
  </si>
  <si>
    <t>78733137</t>
  </si>
  <si>
    <t>56979883</t>
  </si>
  <si>
    <t>53378198</t>
  </si>
  <si>
    <t>54676956</t>
  </si>
  <si>
    <t>63813888</t>
  </si>
  <si>
    <t>59941402</t>
  </si>
  <si>
    <t>54350098</t>
  </si>
  <si>
    <t>53463798</t>
  </si>
  <si>
    <t>72302532</t>
  </si>
  <si>
    <t>54061450</t>
  </si>
  <si>
    <t>58590506</t>
  </si>
  <si>
    <t>55785768</t>
  </si>
  <si>
    <t>56668836</t>
  </si>
  <si>
    <t>53620588</t>
  </si>
  <si>
    <t>56620588</t>
  </si>
  <si>
    <t>53620220</t>
  </si>
  <si>
    <t>58924674</t>
  </si>
  <si>
    <t>58915679</t>
  </si>
  <si>
    <t>56488691</t>
  </si>
  <si>
    <t>56488692</t>
  </si>
  <si>
    <t>54096545</t>
  </si>
  <si>
    <t>58579920</t>
  </si>
  <si>
    <t>78732331</t>
  </si>
  <si>
    <t>52635999</t>
  </si>
  <si>
    <t>YAIMA NAPOLES GARCIA</t>
  </si>
  <si>
    <t>LATITUD</t>
  </si>
  <si>
    <t>LONGITUD</t>
  </si>
  <si>
    <t>WILIAM LOPEZ PEÑA</t>
  </si>
  <si>
    <t>EDY ORLANDIS PEÑA</t>
  </si>
  <si>
    <t>REN VICTORES GONZALEZ</t>
  </si>
  <si>
    <t>CALLE 3RA # 42A E/ A Y B, EL JARDIN, CAMAGUEY</t>
  </si>
  <si>
    <t>CALLE MARTI # 623 E/ SEDANO Y DESENGAÑO, CAMAGUEY</t>
  </si>
  <si>
    <t>CALLE JULIO SANGUILY # 215 E/ BELLA VISTA Y JAIME NOGUERAS, LA VIGIA, CAMAGUEY</t>
  </si>
  <si>
    <t>58250306</t>
  </si>
  <si>
    <t>58518743</t>
  </si>
  <si>
    <t>56628755</t>
  </si>
  <si>
    <t>50943745</t>
  </si>
  <si>
    <t>55009433</t>
  </si>
  <si>
    <t>56547567</t>
  </si>
  <si>
    <t>59785979</t>
  </si>
  <si>
    <t>54705132</t>
  </si>
  <si>
    <t>55558907</t>
  </si>
  <si>
    <t>59657235</t>
  </si>
  <si>
    <t>51667472</t>
  </si>
  <si>
    <t>54690030</t>
  </si>
  <si>
    <t>56047348</t>
  </si>
  <si>
    <t>56767182</t>
  </si>
  <si>
    <t>52549328</t>
  </si>
  <si>
    <t>52003631</t>
  </si>
  <si>
    <t>53917514</t>
  </si>
  <si>
    <t>50818720</t>
  </si>
  <si>
    <t>54251539</t>
  </si>
  <si>
    <t>51688751</t>
  </si>
  <si>
    <t>54538727</t>
  </si>
  <si>
    <t>54801630</t>
  </si>
  <si>
    <t>58592905</t>
  </si>
  <si>
    <t>53071257</t>
  </si>
  <si>
    <t>52488280</t>
  </si>
  <si>
    <t>52188331</t>
  </si>
  <si>
    <t>59068419</t>
  </si>
  <si>
    <t>58108456</t>
  </si>
  <si>
    <t>52408156</t>
  </si>
  <si>
    <t>59459783</t>
  </si>
  <si>
    <t>54445455</t>
  </si>
  <si>
    <t>54414567</t>
  </si>
  <si>
    <t>54340046</t>
  </si>
  <si>
    <t>58582141</t>
  </si>
  <si>
    <t>53711267</t>
  </si>
  <si>
    <t>52379153</t>
  </si>
  <si>
    <t>53784960</t>
  </si>
  <si>
    <t>53433188</t>
  </si>
  <si>
    <t>55990721</t>
  </si>
  <si>
    <t>56170491</t>
  </si>
  <si>
    <t>52043815</t>
  </si>
  <si>
    <t>58612744</t>
  </si>
  <si>
    <t>56130670</t>
  </si>
  <si>
    <t>58711748</t>
  </si>
  <si>
    <t>51793278</t>
  </si>
  <si>
    <t>52829539</t>
  </si>
  <si>
    <t>42201802</t>
  </si>
  <si>
    <t>50491424</t>
  </si>
  <si>
    <t>52371400</t>
  </si>
  <si>
    <t>55238198</t>
  </si>
  <si>
    <t>55910060</t>
  </si>
  <si>
    <t>63279873</t>
  </si>
  <si>
    <t>55455480</t>
  </si>
  <si>
    <t>51810916</t>
  </si>
  <si>
    <t>55625854</t>
  </si>
  <si>
    <t>58133000</t>
  </si>
  <si>
    <t>52769658</t>
  </si>
  <si>
    <t>59876977</t>
  </si>
  <si>
    <t>63673571</t>
  </si>
  <si>
    <t>53241663</t>
  </si>
  <si>
    <t>54389394</t>
  </si>
  <si>
    <t>54724893</t>
  </si>
  <si>
    <t>63791486</t>
  </si>
  <si>
    <t>53157703</t>
  </si>
  <si>
    <t>54810519</t>
  </si>
  <si>
    <t>50239494</t>
  </si>
  <si>
    <t>53144530</t>
  </si>
  <si>
    <t>54749128</t>
  </si>
  <si>
    <t>55237238</t>
  </si>
  <si>
    <t>58132890</t>
  </si>
  <si>
    <t>55749729</t>
  </si>
  <si>
    <t>54236425</t>
  </si>
  <si>
    <t>54961643</t>
  </si>
  <si>
    <t>58327920</t>
  </si>
  <si>
    <t>53508122</t>
  </si>
  <si>
    <t>53843078</t>
  </si>
  <si>
    <t>58582813</t>
  </si>
  <si>
    <t>53746521</t>
  </si>
  <si>
    <t>50645236</t>
  </si>
  <si>
    <t>56269838</t>
  </si>
  <si>
    <t>50644766</t>
  </si>
  <si>
    <t>58902785</t>
  </si>
  <si>
    <t>51199467</t>
  </si>
  <si>
    <t>53570813</t>
  </si>
  <si>
    <t>55683157</t>
  </si>
  <si>
    <t>58592641</t>
  </si>
  <si>
    <t>53082964</t>
  </si>
  <si>
    <t>54728848</t>
  </si>
  <si>
    <t>53618270</t>
  </si>
  <si>
    <t>53618271</t>
  </si>
  <si>
    <t>53595102</t>
  </si>
  <si>
    <t>63915101</t>
  </si>
  <si>
    <t>58049370</t>
  </si>
  <si>
    <t>54827459</t>
  </si>
  <si>
    <t>54379616</t>
  </si>
  <si>
    <t>78738387</t>
  </si>
  <si>
    <t>52760845</t>
  </si>
  <si>
    <t>50241960</t>
  </si>
  <si>
    <t>76990547</t>
  </si>
  <si>
    <t>58698410</t>
  </si>
  <si>
    <t>50867677</t>
  </si>
  <si>
    <t>59116905</t>
  </si>
  <si>
    <t>55037066</t>
  </si>
  <si>
    <t>59676909</t>
  </si>
  <si>
    <t>72802731</t>
  </si>
  <si>
    <t>58058531</t>
  </si>
  <si>
    <t>51599652</t>
  </si>
  <si>
    <t>53580001</t>
  </si>
  <si>
    <t>53836073</t>
  </si>
  <si>
    <t>50160440</t>
  </si>
  <si>
    <t>53353482</t>
  </si>
  <si>
    <t>52582655</t>
  </si>
  <si>
    <t>52719560</t>
  </si>
  <si>
    <t>58549013</t>
  </si>
  <si>
    <t>56422612</t>
  </si>
  <si>
    <t>59515559</t>
  </si>
  <si>
    <t>55016267</t>
  </si>
  <si>
    <t>53044515</t>
  </si>
  <si>
    <t>63605175</t>
  </si>
  <si>
    <t>54088958</t>
  </si>
  <si>
    <t>54808913</t>
  </si>
  <si>
    <t>55668559</t>
  </si>
  <si>
    <t>56272355</t>
  </si>
  <si>
    <t>56970830</t>
  </si>
  <si>
    <t>53516223</t>
  </si>
  <si>
    <t>42892024</t>
  </si>
  <si>
    <t>58907938</t>
  </si>
  <si>
    <t>51923866</t>
  </si>
  <si>
    <t>58509021</t>
  </si>
  <si>
    <t>59009596</t>
  </si>
  <si>
    <t>53462071</t>
  </si>
  <si>
    <t>53166393</t>
  </si>
  <si>
    <t>56688789</t>
  </si>
  <si>
    <t>53198561</t>
  </si>
  <si>
    <t>58350119</t>
  </si>
  <si>
    <t>45525618</t>
  </si>
  <si>
    <t>52784298</t>
  </si>
  <si>
    <t>54581083</t>
  </si>
  <si>
    <t>55534575</t>
  </si>
  <si>
    <t>53481911</t>
  </si>
  <si>
    <t>76933349</t>
  </si>
  <si>
    <t>63976003</t>
  </si>
  <si>
    <t>ID</t>
  </si>
  <si>
    <t>NOMBRE</t>
  </si>
  <si>
    <t>DESVIO MAJIBACOA</t>
  </si>
  <si>
    <t>PUNTO OBLIGATORIO</t>
  </si>
  <si>
    <t>ALMACEN DE MATANZAS</t>
  </si>
  <si>
    <t>PUNTO OBLIGATORIO 2</t>
  </si>
  <si>
    <t>MARCOS LAVANDEIRA JUSTO</t>
  </si>
  <si>
    <t>CALLE DIEZ DE OCTUBRE # 1 E/ MARTI Y CALIXTO GARCIA, PUERTO PADRE</t>
  </si>
  <si>
    <t>LISSETTE ESTHER ALCANTARA DUFAT</t>
  </si>
  <si>
    <t>CALLE ENRAMADAS # 1058 E/ 2DA Y 3RA, SANTA BARBARA, SANTIAGO DE CUBA</t>
  </si>
  <si>
    <t>MARIELSIS SABRINA FANDI O REY</t>
  </si>
  <si>
    <t>CALLE 8VA # 419 E/ CONCEPCION Y SAN FRANCISCO, LAWTON, DIEZ DE OCTUBRE</t>
  </si>
  <si>
    <t>RAFAEL BLANCO LICEA</t>
  </si>
  <si>
    <t>AMALIA CARBALLO AG ERO</t>
  </si>
  <si>
    <t>AVE FINLAY # 4 E/ CALLE A Y FINALET, SAGUA LA GRANDE</t>
  </si>
  <si>
    <t>CALLE 5TA # 55 E/ CALZADA DE BEJUCAL Y A, POEY, ARROYO NARANJO</t>
  </si>
  <si>
    <t>KENDRY JOSE ROSSELL VILLA</t>
  </si>
  <si>
    <t>JOSE RUBEN PEDRIDO IGARZA</t>
  </si>
  <si>
    <t>CALLE 35 # 9A E/ 28 Y 32, HILDA TORRES, HOLGUIN</t>
  </si>
  <si>
    <t>ERNESTO ALEJANDRO VARDES MATOS</t>
  </si>
  <si>
    <t>CALLE ATA RITA, ALTOS # 53 E/ REAL Y PEZUELA, COJIMAR, HABANA DEL ESTE</t>
  </si>
  <si>
    <t>ADRIEL JESUS RAMIREZ PEREZ</t>
  </si>
  <si>
    <t>NAOMI BARBARA MAC BEATH DIAZ</t>
  </si>
  <si>
    <t>JONATHAN CHAPO TAMAYO</t>
  </si>
  <si>
    <t>ALEXANDER JAVIER MOTOLONGO CASTILLO</t>
  </si>
  <si>
    <t>ADRIANA FERRERA LINARES</t>
  </si>
  <si>
    <t>CALLE SAN JOSE # 44 E/ MACEO Y GENERAL MAYA, CAMAJUANI</t>
  </si>
  <si>
    <t>CRISTOPHER OLIVA DIAZ</t>
  </si>
  <si>
    <t>ERMIS ANDRES GONZALEZ BASSO</t>
  </si>
  <si>
    <t>ESTIBEN ALONSO BATISTA</t>
  </si>
  <si>
    <t>CALLE 8VA # 414 E/ CONCEPCION Y SAN FRANCISCO, LAWTON, DIEZ DE OCTUBRE</t>
  </si>
  <si>
    <t>JESSICA ALEJANDRA MOTOLONGO CASTILLO</t>
  </si>
  <si>
    <t>MASIEL ILEANA MARTINEZ FERRERA</t>
  </si>
  <si>
    <t>JOSE DAVID ORTIZ GONZALEZ</t>
  </si>
  <si>
    <t>WILKER ROJAS GARCIA</t>
  </si>
  <si>
    <t>CALLE 8 SUR # 309 E/ CALIXTO GARCIA Y LOS MACEOS, BARRIO ISLETA, GUANTANAMO</t>
  </si>
  <si>
    <t>LIZ CARMEN IBAÃ‘EZ RODRIGUEZ</t>
  </si>
  <si>
    <t>ELIDA RAMIREZ ROMERO</t>
  </si>
  <si>
    <t>CALLE PROLONGACION DE K # 14A, 26 DE JUNIO, SAGUA DE TANAMO</t>
  </si>
  <si>
    <t>ISRAEL CARDENAS GOMEZ</t>
  </si>
  <si>
    <t>EDIF 42, OLIVOS 1 APTO. 2, SANCTI SPIRITUS</t>
  </si>
  <si>
    <t>ALICIA ANDRES DELA FLOR LEON</t>
  </si>
  <si>
    <t>NANCY ZAS BUSTABAD</t>
  </si>
  <si>
    <t>ELIADES ALBEART QUESADA</t>
  </si>
  <si>
    <t>EDIF L 38 APTO. 4, DISTRITO JOSE MARTI, SANTIAGO DE CUBA</t>
  </si>
  <si>
    <t>MARGOT ORDU EZ MATOS</t>
  </si>
  <si>
    <t>CALLE SAN LINO # 114 E/ 10 Y 11 NORTE, GUANTANAMO</t>
  </si>
  <si>
    <t>CALLE IGNACIO AGRAMONTE # 157 E/ PALMA Y ROSARIO, CAMAGUEY</t>
  </si>
  <si>
    <t>OLIVIA PE A GUZMAN</t>
  </si>
  <si>
    <t>CALLE OQUENDO, ESQ. ATENEO # 78, VIRGINIA, SANTA CLARA</t>
  </si>
  <si>
    <t>MARIA DEL CARMEN CALDERON BETHENCOURT</t>
  </si>
  <si>
    <t>CALLE INDEPENDENCIA # 105 E/ NARCISO LOPEZ Y JOSE MARTI, CIEGO DE AVILA</t>
  </si>
  <si>
    <t>JORGE LUIS GUILLEN VALLADARES</t>
  </si>
  <si>
    <t>CALLE MANGLAR E/ INFANTA Y SAN JOAQUIN, CENTRO HABANA</t>
  </si>
  <si>
    <t>ZOE MIRON GONZALEZ</t>
  </si>
  <si>
    <t>MARTA MARGARITA VALLEJO CRUZ</t>
  </si>
  <si>
    <t>CALLE 7MA # 1906A E/ 4 Y ACOSTA, CERRO</t>
  </si>
  <si>
    <t>ANGELA ALEJANDRINA RIVERO ROSALES</t>
  </si>
  <si>
    <t>CALLE MARTI # 201 ALTOS E/ FIGUEREDO Y SATURNINO LORA, BAYAMO</t>
  </si>
  <si>
    <t>ROSA MONTESLIER RODRIGUEZ</t>
  </si>
  <si>
    <t>CALLE 144 E/ 145 Y 14404B, BOYEROS</t>
  </si>
  <si>
    <t>DALIA CISNERO GARBEY</t>
  </si>
  <si>
    <t>CALLE SALVADOR CISNERO # 38 E/ MARTI Y AVE YARAYO, LOS OLMOS, SANTIAGO DE CUBA</t>
  </si>
  <si>
    <t>CALLE A # 48 E/ 5TA Y FINAL, BRISAS DEL CAPIRO, SANTA CLARA</t>
  </si>
  <si>
    <t>LYDIA SANTANA SILVA</t>
  </si>
  <si>
    <t>LUIS EDUARDO MONTESINO RODRIGUEZ</t>
  </si>
  <si>
    <t>CARRETERA A LAS OVAS KM 3 1/2, PINAR DEL RIO</t>
  </si>
  <si>
    <t>RAMON GOMEZ LINARES</t>
  </si>
  <si>
    <t>ALMERI ERNESTO AVILA JARA</t>
  </si>
  <si>
    <t>CALLE 1 B APTO. 14C E/ INIT Y RESERVA FORESTAL, NICARAGUA, BANES</t>
  </si>
  <si>
    <t>LAZARA AYLLON TORRES</t>
  </si>
  <si>
    <t>CARRETERA A LUIS LAZO KM 4 1/2 # 18A, PINAR DEL RIO</t>
  </si>
  <si>
    <t>JUANA MARIA VIÃ‘ALES PEDRAZA</t>
  </si>
  <si>
    <t>ANA LUISA CABRERA MARTINEZ</t>
  </si>
  <si>
    <t>AVE 63 # 13436 E/ 134 Y 136, MARIANAO</t>
  </si>
  <si>
    <t>CALLE 82 EDIF TRIPLANTA 78A24 APTO. 2E/ 11C Y 13, ANTONIO GUITERAS, HABANA DEL ESTE</t>
  </si>
  <si>
    <t>VICTOR GONZALEZ GARCIA</t>
  </si>
  <si>
    <t>CALLE MAXIMO GOMEZ # 177 E/ MARTI Y CASTILLO, MORON</t>
  </si>
  <si>
    <t>JORGE EUGENIO CABRERA ARIAS</t>
  </si>
  <si>
    <t>ERASMO FONT SOSA</t>
  </si>
  <si>
    <t>GILBERTO GONZALEZ RICARDO</t>
  </si>
  <si>
    <t>POBLADO CAÑADON, BANES</t>
  </si>
  <si>
    <t>MIGDALIA SUAREZ GARCIA</t>
  </si>
  <si>
    <t>EDIF 57 APTO. 13, JUNCO SUR, CIENFUEGOS</t>
  </si>
  <si>
    <t>JOSE LUIS HERNANDEZ MENDEZ</t>
  </si>
  <si>
    <t>CALLE JUNUCUN, RAFAEL FREYRE</t>
  </si>
  <si>
    <t>GONZALO LABADIE BORIS</t>
  </si>
  <si>
    <t>CALLE ANTUNEZ # 154D INT, SAN PEDRITO, SANTIAGO DE CUBA</t>
  </si>
  <si>
    <t>CARLOS ALBERTO BORROTO HORTA</t>
  </si>
  <si>
    <t>CALLE SALVADOR HERRERA # 48 E/ CARRILLO Y GONZALO DE QUESADA, SAGUA LA GRANDE</t>
  </si>
  <si>
    <t>CALZADA SAN MIGUEL DEL PADRON # 22533 E/ OTERO Y SAN FRANCISCO, MIRADOR DEL DIEZMERO, SAN MIGUEL DEL PADRON</t>
  </si>
  <si>
    <t>MARTA BEATRIZ CALDERIN DUEÃ‘AS</t>
  </si>
  <si>
    <t>BEATRIZ BARRANCO GONZALEZ</t>
  </si>
  <si>
    <t>AVE 71 # 9416 E/ 94 Y 98, GUINES</t>
  </si>
  <si>
    <t>BARBARA CASTANEDA LICEA</t>
  </si>
  <si>
    <t>CALLE CESPEDES Â·202 E/ REMUS Y AVE LIBERTAD, PALMA SORIANO, SANTIAGO DE CUBA</t>
  </si>
  <si>
    <t>AMNALIE RODRIGUEZ OLIVER</t>
  </si>
  <si>
    <t>CALLE MACEO # 252 E/ AVELLANEDA Y CLOTILDE GARCIA, COLON</t>
  </si>
  <si>
    <t>FRANCISCA RODRIGUEZ RICARDO</t>
  </si>
  <si>
    <t>MARIBEL CASTRO MORALES</t>
  </si>
  <si>
    <t>CALLE POCITO # 412 INT E/ 9 Y 10, LAWTON, DIEZ DE OCTUBRE</t>
  </si>
  <si>
    <t>VERONICA ESTRELLA MERCADE GAMEZ</t>
  </si>
  <si>
    <t>CALLE LUZ CABALLERO # 8 E/ FOMENTO Y CERVANTES, HOLGUIN</t>
  </si>
  <si>
    <t>LIRIA CASTA EDA MARTINEZ</t>
  </si>
  <si>
    <t>CALLE MARCIAL GOMEZ, INTERIOR 4 # 63 E/ JOAQUIN DE AG ERO Y CARRETERA CENTRAL, CIEGO DE AVILA</t>
  </si>
  <si>
    <t>ODALIS MUÃ‘OZ MOYA</t>
  </si>
  <si>
    <t>OMAR PASCUAL MARTINEZ</t>
  </si>
  <si>
    <t>CALLE 2 OESTE # 655 ALTO E/ PASEO Y NARCISO LOPEZ, GUANTANAMO</t>
  </si>
  <si>
    <t>CECILIA VERDECIA COLON</t>
  </si>
  <si>
    <t>XIOMARA VEGA RIVERO</t>
  </si>
  <si>
    <t>CALLE 190 EDIF 3715 APTO. 18, VERSALLES, LA LISA</t>
  </si>
  <si>
    <t>ILIANA PENA ANGULO</t>
  </si>
  <si>
    <t>RUBEN LEANDRO GONZALEZ RIVERA</t>
  </si>
  <si>
    <t>CALLE ISRAEL MARRERO # 18 E/ ROBERTO REYES Y ROBERTO CRUZ, LA VICTORIA, LAS TUNAS</t>
  </si>
  <si>
    <t>LUIS RODRIGUEZ MOSQUEDA</t>
  </si>
  <si>
    <t>BARRIO SAN LUIS, BARACOA</t>
  </si>
  <si>
    <t>CALLE 17 NORTE EDIF 83A # 3 E/ 6 OESTE Y 7 OESTE, CARIBE, GUANTANAMO</t>
  </si>
  <si>
    <t>CALLE BENAVIDES # 219 E/ ARNALDO RAMIREZ Y ONELIO HERNNADEZ, VISTA HERMOSA, CIEGO DE AVILA</t>
  </si>
  <si>
    <t>MILAGROS CLAPE LLORENTE</t>
  </si>
  <si>
    <t>CARRETERA A VIÑALES KM 2 1/2 # 108 ALTO, PINAR DEL RIO</t>
  </si>
  <si>
    <t>NORALIS TABARES LOPEZ</t>
  </si>
  <si>
    <t>CALLE D # 6, 30 DE DICIEMBRE, CONTRAMAESTRE</t>
  </si>
  <si>
    <t>CARLOS GONZALEZ ROJAS</t>
  </si>
  <si>
    <t>CALLE FLOR CROMBRET # 702 E/ BAYAMO Y CESPEDES, BANES</t>
  </si>
  <si>
    <t>BENEDICTA DIAZ PEÃ‘A</t>
  </si>
  <si>
    <t>CALLE 15 # 24 E/ CALLE 6TA Y LIMITE, BATEY ESPARTACO, PALMIRA</t>
  </si>
  <si>
    <t>PEDRO PASCUAL GALARDY JIMENEZ</t>
  </si>
  <si>
    <t>CALLE MARTI # 158 E/ FRANK PAIS Y JESUS MENENDEZ, LA MABOA, JIGUANI</t>
  </si>
  <si>
    <t>CARIDAD PEREGRINO ARGUELLO</t>
  </si>
  <si>
    <t>CALLE 18 NORTE EDIF 4 APTO 7B E/ 7 OESTE Y 6 AVE 26 DE JULIO, CARIBE, GUANTANAMO</t>
  </si>
  <si>
    <t>DIGNORA ARGUELLEZ TOMACEN</t>
  </si>
  <si>
    <t>CALLE MARTI I BIPLANTA APTO. 12C 1ER PISO, BARACOA</t>
  </si>
  <si>
    <t>NEIDA CORDOBA BORGES</t>
  </si>
  <si>
    <t>JOSE ERNESTO CASTA EDA FERNANDEZ</t>
  </si>
  <si>
    <t>CALLE CARRETERA DE LOS CAMILITOS TRIPLANTA BLOQUE 3, 30 DE NOVIEMBRE, SANTIAGO DE CUBA</t>
  </si>
  <si>
    <t>DANIA VICTORIA CRUZ HERNANDEZ</t>
  </si>
  <si>
    <t>CALLE POBLADO CANADON, BANES</t>
  </si>
  <si>
    <t>CALLE GARAYALDE # 34 E/ 20 DE MAYO Y INDEPENDENCIA, VISTA ALEGRE, HOLGUIN</t>
  </si>
  <si>
    <t>SURA GALAN RODRIGUEZ</t>
  </si>
  <si>
    <t>CALLE ALTOS DE MICRO 9 BIPLANTA 7 DISTRITO JOSE MARTI, SANTIAGO DE CUBA</t>
  </si>
  <si>
    <t>ANTONIA MARGARITA MERALLA RIVERA</t>
  </si>
  <si>
    <t>CALLE HIDALGO GATO # 13, PUERTO ESPERANZA, VINALES</t>
  </si>
  <si>
    <t>OSCAR LA LLAVE PORTUONDO</t>
  </si>
  <si>
    <t>CALLE AYESTARAN # 474 E/ PEDRO PEREZ Y SANTO PABLO, CERRO</t>
  </si>
  <si>
    <t>ADIANET FONSECA BRITO</t>
  </si>
  <si>
    <t>CALLE VICENTE SOMONTE # 16 E/ AGRAMONTE Y MARTI, GUAIMARO</t>
  </si>
  <si>
    <t>MARELI CARVAJAL CARVAJAL</t>
  </si>
  <si>
    <t>LISSET ROJAS PEQUEÃ‘O</t>
  </si>
  <si>
    <t>MILAGROS RODRIGUEZ VILLANUEVA</t>
  </si>
  <si>
    <t>ALEXANDER MOTOLONGO VIQUILLON</t>
  </si>
  <si>
    <t>CALLE 8 PEATONAL EDIF 46 APTO 2 # 27B E/ CALLE 8VA Y PEATONAL 6D, VILLA NUEVA 3, HOLGUIN</t>
  </si>
  <si>
    <t>ELIZABETH LEON DIAZ</t>
  </si>
  <si>
    <t>CALZADA DEL CERRO # 1821 E/ PENON Y ARZOBISPO, CERRO</t>
  </si>
  <si>
    <t>ALEXIS FUENTES VARGAS</t>
  </si>
  <si>
    <t>CALLE CESPEDES # 425 E/ LIMBANO SANCHEZ Y CROMBET, SAN LUIS</t>
  </si>
  <si>
    <t>ROGELIO DARIEL GARCIA MORALES</t>
  </si>
  <si>
    <t>CALLE SOUBERVILLE # 561 E/ CALZADA Y CORONEL VERDUGO, CARDENAS</t>
  </si>
  <si>
    <t>ALINA ESPINOSA MORALES</t>
  </si>
  <si>
    <t>CALLE 11 EDIF 6 # 22, JAGUEY GRANDE</t>
  </si>
  <si>
    <t>ADRIADNA MARIA AG ERO LOPEZ DEL CASTILLO</t>
  </si>
  <si>
    <t>AVE FINLAY # 4 E/ FINALET Y CALLE A, SAGUA LA GRANDE</t>
  </si>
  <si>
    <t>CALLE MARTI # 623 E/ SEDANO Y DESENGAÃ‘O, CAMAGUEY</t>
  </si>
  <si>
    <t>IVETTE MARIA RAMIREZ CASTRO</t>
  </si>
  <si>
    <t>CALLE MARQUEZ E/ AYESTARAN Y CARMEN, CERRO</t>
  </si>
  <si>
    <t>MARIA ISABEL RODRIGUEZ AMORES</t>
  </si>
  <si>
    <t>CALLE C # 226 E/ 4TA Y 5TA, VIGIA, SANTA CLARA</t>
  </si>
  <si>
    <t>DANIEL PENA LAURENCIO</t>
  </si>
  <si>
    <t>ODALGIS ILVIS SANCHEZ PEREZ</t>
  </si>
  <si>
    <t>CALLE 41 # 8807 E/ 88 Y 90, MARIANA</t>
  </si>
  <si>
    <t>CALLE 21, EDIF 44 APTO. 3 E/ 8 Y 12, VILLANUEVA, HOLGUIN</t>
  </si>
  <si>
    <t>ALFREDO GALLOSO CRUZ</t>
  </si>
  <si>
    <t>CALLE 27 # 6809INT E/ 68 Y 70, PLAYA</t>
  </si>
  <si>
    <t>ALEXIS RUIZ PEÃ‘A</t>
  </si>
  <si>
    <t>YENY PEREZ LEON</t>
  </si>
  <si>
    <t>CALLE 109 # 9 E/ 136 Y 130, LAS PALMAS, MORON</t>
  </si>
  <si>
    <t>CALLE GUITERAS # 144A E/ CALLE 49 Y LIDICE, MAYARI</t>
  </si>
  <si>
    <t>ISIDRO LAZO PEREZ</t>
  </si>
  <si>
    <t>CALLE 88C # 5120 E/ 51A Y 53, MARIANAO</t>
  </si>
  <si>
    <t>EDIF 9 APTO. 5, BEISBOLITO, NUEVO MANZANILLO, MANZANILLO</t>
  </si>
  <si>
    <t>LORENZO RAFAEL MILLAN JACAS</t>
  </si>
  <si>
    <t>AVE MILANES # 208 ALTOS E/ 21 Y 23, CAMILO CIENFUEGOS, BAYAMO</t>
  </si>
  <si>
    <t>BLANCA ROSA RAMIREZ FARGOT</t>
  </si>
  <si>
    <t>CALLE VICENTE GARCIA # 234 E/ 29 Y 31, AGUILERA, LAS TUNAS</t>
  </si>
  <si>
    <t>MIRLENIS CHAVEZ HIDALGO</t>
  </si>
  <si>
    <t>CALLE 20, EDIF 461 APTO. 4, 2DO PISO E/ 15A Y 17, ANTONIO GUITERAS, BAYAMO</t>
  </si>
  <si>
    <t>YAMIR MARTINEZ GALLEGO</t>
  </si>
  <si>
    <t>CARRETERA VICENTE KM 1 VICENTE, CIEGO DE AVILA</t>
  </si>
  <si>
    <t>JAVIER ALONSO TRISTAN</t>
  </si>
  <si>
    <t>AVE FORMADORA BIPLANTA 1 APTO. 1, OBRERO, GUANTANAMO</t>
  </si>
  <si>
    <t>ERDUIN ABREUS LIRIANO</t>
  </si>
  <si>
    <t>CALLE IBERIA # 1C E/ SANTA ANA Y CAMPO, MANGUITO, CALIMETE</t>
  </si>
  <si>
    <t>ALFREDO PEREZ LOPEZ</t>
  </si>
  <si>
    <t>MICHEL BRITO ZAS</t>
  </si>
  <si>
    <t>RENE SOLANO CASTILLO</t>
  </si>
  <si>
    <t>CALLE 8 CMF 11A E/ 23 Y 25, SIBONEY, BAYAMO</t>
  </si>
  <si>
    <t>REYNEL LOPEZ CUTIÃ‘O</t>
  </si>
  <si>
    <t>AIRAMA CASTILLO MENDOZA</t>
  </si>
  <si>
    <t>THALE SOLCIRE LINARES BLANCO</t>
  </si>
  <si>
    <t>YAMILA HECHAVARRIA CHIVAS</t>
  </si>
  <si>
    <t>CALLE 1RA # 305 ALTOS E/ 16 Y 18, DESSY, SANTIAGO DE CUBA</t>
  </si>
  <si>
    <t>AVE 9NA # 6007 E/ 60 Y 62, PLAYA</t>
  </si>
  <si>
    <t>HECTOR AMILCAR CUZA PEREDA</t>
  </si>
  <si>
    <t>CALLE 10 DE OCTUBRE # 1ALTO E/ GENERAL GARCIA Y CARRETERA CENTRAL, HARLEM, HOLGUIN</t>
  </si>
  <si>
    <t>IVET LORENZO GONZALEZ</t>
  </si>
  <si>
    <t>CALLE 15 EDIF 8, 3 DE JUNIO, BANES</t>
  </si>
  <si>
    <t>YANEISI GONZALEZ FUNE DE LA PE A</t>
  </si>
  <si>
    <t>MAYRA ISABEL BARRIOS MARIN</t>
  </si>
  <si>
    <t>FINCA LA ASTREA DETRAS DEL EDIF 9 PLANTAS # 30, SAN JUAN Y MARTINEZ</t>
  </si>
  <si>
    <t>CALLE JOSE MARTI # 13, POBLADO PEREA, YAGUAJAY</t>
  </si>
  <si>
    <t>ROGER GUEVARA HERRERA</t>
  </si>
  <si>
    <t>CALLE 4TA # 38 E/ 9 Y 11, LOS COQUITOS, CAMAGUEY</t>
  </si>
  <si>
    <t>RAYDELI NAPOLES SOCARRAS</t>
  </si>
  <si>
    <t>CALLE 20 # 119A E/ C Y D, LA GUERNICA, CAMAGUEY</t>
  </si>
  <si>
    <t>ORALIS DARROMAN RODRIGUEZ</t>
  </si>
  <si>
    <t>CALLE LUIS BONNE .EDIF 8 APTO. 30, LA MAYA, SONGO-LA MAYA</t>
  </si>
  <si>
    <t>JOANNA DOROTA BACK</t>
  </si>
  <si>
    <t>CALLE AVELLANEDA # 221 E/ JAIME Y SAN ESTEBAN, CAMAGUEY</t>
  </si>
  <si>
    <t>RUBEN RICARDO ALCOLEA PEREZ</t>
  </si>
  <si>
    <t>CALLE MONCADA # 102 E/ JOSE MACEO Y CORONEL CHAVEZ, SAN LUIS</t>
  </si>
  <si>
    <t>DAYMARANASKA DIAZ AGUILERA</t>
  </si>
  <si>
    <t>ALEXEI BARRIENTO NOA</t>
  </si>
  <si>
    <t>MISAEL GONZALEZ REYES</t>
  </si>
  <si>
    <t>ISMELIS BASSO CARDENEZ</t>
  </si>
  <si>
    <t>BEATRIZ MANZANO CHAVEZ</t>
  </si>
  <si>
    <t>JANSEN TRISTAN ALONSO</t>
  </si>
  <si>
    <t>ERLY URGUELLES MOSQUEADA</t>
  </si>
  <si>
    <t>CALLE BARRIO JOBO DULCE # 18D, BARACOA</t>
  </si>
  <si>
    <t>RAFAEL ENRIQUE SANTAELENA SANCHEZ</t>
  </si>
  <si>
    <t>CALLE 22, EDIF 104 APTO. J8 E/ 31 Y 35, LA GIRALDILLA, LA LISA</t>
  </si>
  <si>
    <t>DAYANA MORALES SALAS</t>
  </si>
  <si>
    <t>AVE ABEL SANTAMARIA EDIF 14 APTO. 1, JOSE MARTI, SANTA CLARA</t>
  </si>
  <si>
    <t>YAHIMA BENITO HERNANDEZ</t>
  </si>
  <si>
    <t>YUBEL RENE GONZALEZ LEYVA</t>
  </si>
  <si>
    <t>YUSMARA CASTA EDA CRUZ</t>
  </si>
  <si>
    <t>CALLE 65 # 24 E/ JOSE BETANCOURT Y RAMON MORA, LA LOMA, LAS TUNAS</t>
  </si>
  <si>
    <t>JENNY PARRA AYLLON</t>
  </si>
  <si>
    <t>YAISARA SOLANO BRUNET</t>
  </si>
  <si>
    <t>LEOSVANY HERNANDEZ SANCHEZ</t>
  </si>
  <si>
    <t>MANUEL YASSER GONZALEZ BOMBINO</t>
  </si>
  <si>
    <t>ANISLEIDY DRAGUICHE GOMEZ</t>
  </si>
  <si>
    <t>CALLE JESUS MENENDEZ # 22 E/ CALLE REAL Y AMPARO, SANTA CLARA</t>
  </si>
  <si>
    <t>YANIT FORTE BALUJA</t>
  </si>
  <si>
    <t>CALLE 5TA # 24 E/ CALAZADA DE MANAGUA Y FINAL, ARROYO NARANJO</t>
  </si>
  <si>
    <t>FRANK GONZALEZ PADILLA</t>
  </si>
  <si>
    <t>EDIF 41B APTO. 9A, PUEBLO GRIFFO, CIENFUEGOS</t>
  </si>
  <si>
    <t>YARISLEYDIS BOLIVAR VALDEZ</t>
  </si>
  <si>
    <t>CALLE 2DA BIPLANTA1, EDIF DE LOS MEDICOS, MICRIDISTRITO APTO. 3, GUAIMARO</t>
  </si>
  <si>
    <t>ARAZAIS NAPOLES MORAGA</t>
  </si>
  <si>
    <t>CALLE MARCO MACEO # 46 E/ H Y I, JESUS MENENDEZ, MAYARI ARRIBA, II FRENTE</t>
  </si>
  <si>
    <t>LISSETE RIVERA REYES</t>
  </si>
  <si>
    <t>AVE SERRANO # 2B, PLAYA SIBONEY, SANTIAGO DE CUBA</t>
  </si>
  <si>
    <t>YAMILKA TAMAYO LARREA</t>
  </si>
  <si>
    <t>CALLE 12 # 38 E/ 26 DE JULIO Y 21, CIRO REDONDO, BAYAMO</t>
  </si>
  <si>
    <t>YANET SILVA CASTILLO</t>
  </si>
  <si>
    <t>CALLE PASAJE A E/ 5TA Y C, LA ESPERANZA, CAMAGUEY</t>
  </si>
  <si>
    <t>YAMILA GONZALEZ CABRERA</t>
  </si>
  <si>
    <t>DORIAN DAVID GUILLEN ORTEGA</t>
  </si>
  <si>
    <t>YANET ALVAREZ GINARTE</t>
  </si>
  <si>
    <t>CALLE 13 # 25 E/ MATIAS Y CRUCE DE LOS BANOS, TERCER FRENTE</t>
  </si>
  <si>
    <t>ULISES PEREZ SALGADO</t>
  </si>
  <si>
    <t>DUNIERKIS LORES GAMEZ</t>
  </si>
  <si>
    <t>CALLE LOS HOYOS DE SABANILLA, BARACOA</t>
  </si>
  <si>
    <t>INDIRA BELL BLANCO</t>
  </si>
  <si>
    <t>ROBERTO YASMANI VEGA LOPEZ</t>
  </si>
  <si>
    <t>CALLE JULIO GRAVE DE PERALTA # 16A E/ LOS MACEOS Y MEJIAS, SAGUA DE TANAMO</t>
  </si>
  <si>
    <t>CARLOS MIGUEL COBO RICARDO</t>
  </si>
  <si>
    <t>CALLE SEGUNDA BIPLANTA 97 APTO 2 E/ CALLE PRIMERA Y CALLE B, PEDRO DIAZ COELLO, HOLGUIN</t>
  </si>
  <si>
    <t>JENNIFER ALEMAN CARDENEZ</t>
  </si>
  <si>
    <t>ENRIQUE CISNEROS GIRON</t>
  </si>
  <si>
    <t>CALLE 4 # 222 E/ F Y G, VISTA HERMOSA, SANTIAGO DE CUBA</t>
  </si>
  <si>
    <t>JAVIER MENENDEZ JARAMILLO</t>
  </si>
  <si>
    <t>CALLE MARTI # 71, CIFUENTES</t>
  </si>
  <si>
    <t>ALEJANDRO MIGUEL RODRIGUEZ NU EZ</t>
  </si>
  <si>
    <t>CALLE 10 # 1 E/ 43 Y 45, ROSABAL, CONTRAMAESTRE</t>
  </si>
  <si>
    <t>ALAIN YERA DEL RIO</t>
  </si>
  <si>
    <t>RAQUEL NARANJO PENA</t>
  </si>
  <si>
    <t>AVE 37 # 14017 E/ 140 Y 142, COCOSOLO, MARIANAO</t>
  </si>
  <si>
    <t>YAIDELIS PEREZ CLAPE</t>
  </si>
  <si>
    <t>ISEL SANCHEZ LOPEZ</t>
  </si>
  <si>
    <t>CALLE C # 3A E/ CENTRAL Y CALLEJON DEL SALADO, VIRGINIA, SANTA CLARA</t>
  </si>
  <si>
    <t>ROSA VANESA MARIN GONZALEZ</t>
  </si>
  <si>
    <t>CALLE LIBERTAD # 37A E/ BONACHEA Y LINEA SAN FERNANDO, MORON</t>
  </si>
  <si>
    <t>LEONELDY HERNANDEZ FROMETA</t>
  </si>
  <si>
    <t>CALLE 208 EDIF 5105 APTO. 13 E/ AVE 51 Y AVE 53, LA LISA</t>
  </si>
  <si>
    <t>LIUSMILA ABAD SANCHEZ</t>
  </si>
  <si>
    <t>CALLE 3RA # 6 E/ 2DA Y FINAL, BARRIO FRAC, CERRO</t>
  </si>
  <si>
    <t>LUIS MIGUEL NUÃ‘EZ CASTAÃ‘EDA</t>
  </si>
  <si>
    <t>JESUS DANNYS PEREZ RODRIGUEZ</t>
  </si>
  <si>
    <t>AVE 51 # 14017 E/ 140 Y 142, MARIANAO</t>
  </si>
  <si>
    <t>ROSELI SERRA PEREZ</t>
  </si>
  <si>
    <t>CALLE CARLOS MANUEL DE CESPEDES FINAL, LA PALMA</t>
  </si>
  <si>
    <t>CALLE K # 10 E/ AVE. GARZON Y SEGUNDA, SUEÃ‘O, SANTIAGO DE CUBA</t>
  </si>
  <si>
    <t>ROSANA ESCALONA MARTINEZ</t>
  </si>
  <si>
    <t>CALLE 1 # 20 E/ DIEZ DE OCTUBRE Y 27 NOV, CAMPECHUELA</t>
  </si>
  <si>
    <t>LIANNE RAMIREZ GUIERRA</t>
  </si>
  <si>
    <t>CALLE MARTI ALTA # 553, VILLA GRANDE. PALMA SORIANO</t>
  </si>
  <si>
    <t>JUAN ERNESTO GUTIERREZ LEYVA</t>
  </si>
  <si>
    <t>GEINY MARO MACHIN</t>
  </si>
  <si>
    <t>ZONA DE DESARROLLO EL DAP.SN, GUASIMAL</t>
  </si>
  <si>
    <t>ANILEX MARIAM PEREZ FONSECA</t>
  </si>
  <si>
    <t>CALLE 139 EDIF 18001 APTO. B1 E/ 180 Y 182, PEÃ‘AS ALTAS, MATANZAS</t>
  </si>
  <si>
    <t>LIANA CISNEROS RIVERO</t>
  </si>
  <si>
    <t>JULIO CESAR DE LA RUA PEREZ</t>
  </si>
  <si>
    <t>DAINELA MARIA ZAMORA NU EZ</t>
  </si>
  <si>
    <t>YAREMI DIAZ LAZO</t>
  </si>
  <si>
    <t>ARLET MENDEL FONSECA</t>
  </si>
  <si>
    <t>CALLE EGIDO # 30 E/ ARGELIA LIBRE Y 3A, 2 DE DICIEMBRE, YARA</t>
  </si>
  <si>
    <t>DENISSE GALBAN HERNANDEZ</t>
  </si>
  <si>
    <t>AVE MALECON EDIF 30 APTO. C, BARACOA</t>
  </si>
  <si>
    <t>CARLOS JOSUE PIÃ‘EIRO TORRES</t>
  </si>
  <si>
    <t>DASNEYIS LEBLANCH HERNANDEZ</t>
  </si>
  <si>
    <t>CALLE MANACAS POBLADO EL CRISTO, SANTIAGO DE CUBA</t>
  </si>
  <si>
    <t>LISBET SANCHEZ PACHECO</t>
  </si>
  <si>
    <t>CALLE 17, MODULO 5 APTO. B E/ AVE CAMILO CIENFUEGOS Y 8VA, NUEVO MANZANILLO, MANZANILLO</t>
  </si>
  <si>
    <t>CLAUDIA CASTELLANOS ROLDAN</t>
  </si>
  <si>
    <t>CALLE EDIF 13 APTO. 59A, OBRERO, GUANTANAMO</t>
  </si>
  <si>
    <t>YAHANET ROSADO CASTILLO</t>
  </si>
  <si>
    <t>ALEJANDRO ESPINOSA ORO</t>
  </si>
  <si>
    <t>CALLE 34 POBLADO # 7 E/ CALIXTO, MAJIBACOA</t>
  </si>
  <si>
    <t>LINNET VEGA PAVON</t>
  </si>
  <si>
    <t>CALLE CARLOS NUNEZ # 14013 E/ 2DA Y 3RA, ALDAVO, BOYEROS</t>
  </si>
  <si>
    <t>CALLE CIRCUNVALANTE CMF 11 # 2, 26 DE JULIO, SANCTI SPIRITUS</t>
  </si>
  <si>
    <t>MELISSA OLGA LUGO GUERRERO</t>
  </si>
  <si>
    <t>CALLE 6 EDIF 8 APTO. 4 E/ 23 Y 25, PASTORITA, SANTIAGO DE CUBA</t>
  </si>
  <si>
    <t>BELINDA COMAS CUETO</t>
  </si>
  <si>
    <t>CALLE LIBERTAD # 4 E/ PRIMERA Y SAN IGNACIO, SAN JOSE DE LOS RAMOS, COLON</t>
  </si>
  <si>
    <t>GRETEL PEREZ PALACIO</t>
  </si>
  <si>
    <t>MARIA CLAUDIA ECHEVARRIA GARCIA</t>
  </si>
  <si>
    <t>CALLE 26 DE JULIO MICRO 23 EDF 1 APTO. 4, LAS OVAS, PINAR DEL RIO</t>
  </si>
  <si>
    <t>CALLE RAMON LOPEZ # 231, POBLADO UÑAS, HOLGUIN</t>
  </si>
  <si>
    <t>CALLE D # 19 E/ 5TA Y 6TA, VICTORIA DE GIRON, CAMAGUEY</t>
  </si>
  <si>
    <t>ESTADO</t>
  </si>
  <si>
    <t>MUNICIPIO</t>
  </si>
  <si>
    <t>PROVINCIA</t>
  </si>
  <si>
    <t>CALLE 6 # 4 E/ CALLE E Y AVE. RENATO GUITAR, 28 DE SEPTIEMBRE, PALMA SORIANO</t>
  </si>
  <si>
    <t>CALLE 35 # 2623 E/ 26 Y 30, PLAYA</t>
  </si>
  <si>
    <t>CALLE IGNACIO HUMARA # 140 E/ MANUEL ORTEGA Y HERMANOS CONCEPCION, SAN CRISTOBAL</t>
  </si>
  <si>
    <t>CALLE 6NE # 8501 E/ 85 Y 87, TULIPAN, CIENFUEGOS</t>
  </si>
  <si>
    <t>CALLE 8 PEATONAL EDIF 46 APTO. 2 E/ 8 Y PEATONAL 6 D, VILLANUEVA 3, HOLGUIN</t>
  </si>
  <si>
    <t>CALLE DOSITEO AGUILERA # 1E E/ 24 Y FINAL, CENTRO CIUDAD, HOLGUIN</t>
  </si>
  <si>
    <t>CALLE ERADIO DOMINGUEZ # 21 E/ 13 Y REYNERIO ALMAGUER, LA ADUANA, HOLGUIN</t>
  </si>
  <si>
    <t>CARRETERA A VIÑALES KM 2 1/2 # 108 ALTOS, PINAR DEL RIO</t>
  </si>
  <si>
    <t>CALLEJON PIO ALVAREZ # 21 E/ PIO ALAVREZ Y JOSE ANTONIO ECHEVARRIA, POBLADO MAXIMO GOMEZ, PERICO</t>
  </si>
  <si>
    <t>EDIF 5 ESCALERA 1 APTO. 5, MICRO 1 B ABEL SANTAMARIA, SANTIAGO DE CUBA</t>
  </si>
  <si>
    <t>EDIF TRIPLANTA 4 APTO. 2, MICRO 3 ABEL SANTAMARIA, SANTIAGO DE CUBA</t>
  </si>
  <si>
    <t>EDIF. A 39 APTO. 6, 3ER PISO, DISTRITO ANTONIO MACEO, SANTIAGO DE CUBA</t>
  </si>
  <si>
    <t>EDIF 8 MANZANA 2 APTO. 9, JOSE MARTI, SANTA CLARA</t>
  </si>
  <si>
    <t>EDIF. 9A APTO. 17, OLIVOS 2, SANCTI SPIRITUS</t>
  </si>
  <si>
    <t>PROV</t>
  </si>
  <si>
    <t>649-31382794</t>
  </si>
  <si>
    <t>649-31382783</t>
  </si>
  <si>
    <t>PRESENCIAL</t>
  </si>
  <si>
    <t>ALFREDO REVILLA CHACON</t>
  </si>
  <si>
    <t>EDIF. 18 PLANTAS PISO 17 GARZON IV, CENTRO SANTIAGO, SANTIAGO DE CUBA</t>
  </si>
  <si>
    <t>56171981 / 56171981</t>
  </si>
  <si>
    <t>JULIA HERNANDEZ YERA</t>
  </si>
  <si>
    <t>CALLE CAMPO # 32 E/ CARRETERA A MATADERO Y CALLE EUFEMIA, BRISAS DEL OESTE, SANTA CLARA</t>
  </si>
  <si>
    <t>2794-3475</t>
  </si>
  <si>
    <t>2794 - 3475</t>
  </si>
  <si>
    <t>2794-3476</t>
  </si>
  <si>
    <t>2794 - 3476</t>
  </si>
  <si>
    <t>2794-3532</t>
  </si>
  <si>
    <t>2794 - 3532</t>
  </si>
  <si>
    <t>2794-3533</t>
  </si>
  <si>
    <t>2794 - 3533</t>
  </si>
  <si>
    <t>2783-3319</t>
  </si>
  <si>
    <t>2783 - 3319</t>
  </si>
  <si>
    <t>2783-3386</t>
  </si>
  <si>
    <t>2783 - 3386</t>
  </si>
  <si>
    <t>LIAN</t>
  </si>
  <si>
    <t>JOSE</t>
  </si>
  <si>
    <t>B</t>
  </si>
  <si>
    <t>A</t>
  </si>
  <si>
    <t>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</si>
</sst>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8">
    <xf numFmtId="0" fontId="0" fillId="0" borderId="0" xfId="0"/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right" vertical="center" wrapText="1"/>
    </xf>
    <xf numFmtId="0" fontId="18" fillId="0" borderId="11" xfId="0" applyFont="1" applyBorder="1" applyAlignment="1">
      <alignment horizontal="center" wrapText="1"/>
    </xf>
    <xf numFmtId="0" fontId="18" fillId="0" borderId="11" xfId="0" applyFont="1" applyBorder="1" applyAlignment="1">
      <alignment horizontal="left" wrapText="1"/>
    </xf>
    <xf numFmtId="2" fontId="18" fillId="0" borderId="11" xfId="0" applyNumberFormat="1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164" fontId="18" fillId="0" borderId="11" xfId="0" applyNumberFormat="1" applyFont="1" applyBorder="1" applyAlignment="1">
      <alignment horizontal="right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0" fillId="0" borderId="11" xfId="0" applyBorder="1"/>
    <xf numFmtId="0" fontId="18" fillId="0" borderId="14" xfId="0" applyFont="1" applyBorder="1" applyAlignment="1">
      <alignment horizontal="center" wrapText="1"/>
    </xf>
    <xf numFmtId="0" fontId="18" fillId="0" borderId="14" xfId="0" applyFont="1" applyBorder="1" applyAlignment="1">
      <alignment horizontal="left" vertical="center" wrapText="1"/>
    </xf>
    <xf numFmtId="2" fontId="18" fillId="0" borderId="14" xfId="0" applyNumberFormat="1" applyFont="1" applyBorder="1" applyAlignment="1">
      <alignment horizontal="right" vertical="center" wrapText="1"/>
    </xf>
    <xf numFmtId="0" fontId="18" fillId="0" borderId="14" xfId="0" applyFont="1" applyBorder="1" applyAlignment="1">
      <alignment horizontal="center" vertical="center" wrapText="1"/>
    </xf>
    <xf numFmtId="0" fontId="0" fillId="0" borderId="14" xfId="0" applyBorder="1"/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1" fontId="0" fillId="0" borderId="0" xfId="0" applyNumberFormat="1"/>
    <xf numFmtId="0" fontId="19" fillId="0" borderId="18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165" fontId="0" fillId="0" borderId="14" xfId="0" applyNumberFormat="1" applyBorder="1"/>
    <xf numFmtId="0" fontId="19" fillId="0" borderId="19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2" fontId="18" fillId="33" borderId="11" xfId="0" applyNumberFormat="1" applyFont="1" applyFill="1" applyBorder="1" applyAlignment="1">
      <alignment horizontal="right" vertical="center" wrapText="1"/>
    </xf>
    <xf numFmtId="0" fontId="18" fillId="0" borderId="11" xfId="0" applyFont="1" applyFill="1" applyBorder="1" applyAlignment="1">
      <alignment horizontal="center" wrapText="1"/>
    </xf>
    <xf numFmtId="0" fontId="18" fillId="0" borderId="14" xfId="0" applyFont="1" applyFill="1" applyBorder="1" applyAlignment="1">
      <alignment horizontal="center" wrapText="1"/>
    </xf>
    <xf numFmtId="0" fontId="18" fillId="0" borderId="11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left" vertical="center" wrapText="1"/>
    </xf>
    <xf numFmtId="2" fontId="18" fillId="0" borderId="11" xfId="0" applyNumberFormat="1" applyFont="1" applyFill="1" applyBorder="1" applyAlignment="1">
      <alignment horizontal="right" vertical="center" wrapText="1"/>
    </xf>
    <xf numFmtId="164" fontId="18" fillId="0" borderId="11" xfId="0" applyNumberFormat="1" applyFont="1" applyFill="1" applyBorder="1" applyAlignment="1">
      <alignment horizontal="right" vertical="center" wrapText="1"/>
    </xf>
    <xf numFmtId="165" fontId="0" fillId="0" borderId="14" xfId="0" applyNumberFormat="1" applyFill="1" applyBorder="1"/>
    <xf numFmtId="0" fontId="0" fillId="0" borderId="0" xfId="0" applyFill="1"/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2" fontId="18" fillId="34" borderId="11" xfId="0" applyNumberFormat="1" applyFont="1" applyFill="1" applyBorder="1" applyAlignment="1">
      <alignment horizontal="right" vertical="center" wrapText="1"/>
    </xf>
    <xf numFmtId="2" fontId="18" fillId="35" borderId="11" xfId="0" applyNumberFormat="1" applyFont="1" applyFill="1" applyBorder="1" applyAlignment="1">
      <alignment horizontal="right" vertical="center" wrapText="1"/>
    </xf>
    <xf numFmtId="0" fontId="20" fillId="36" borderId="11" xfId="0" applyFont="1" applyFill="1" applyBorder="1" applyAlignment="1">
      <alignment horizontal="center" wrapText="1"/>
    </xf>
    <xf numFmtId="0" fontId="20" fillId="36" borderId="14" xfId="0" applyFont="1" applyFill="1" applyBorder="1" applyAlignment="1">
      <alignment horizont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left" vertical="center" wrapText="1"/>
    </xf>
    <xf numFmtId="2" fontId="20" fillId="36" borderId="11" xfId="0" applyNumberFormat="1" applyFont="1" applyFill="1" applyBorder="1" applyAlignment="1">
      <alignment horizontal="right" vertical="center" wrapText="1"/>
    </xf>
    <xf numFmtId="164" fontId="20" fillId="36" borderId="11" xfId="0" applyNumberFormat="1" applyFont="1" applyFill="1" applyBorder="1" applyAlignment="1">
      <alignment horizontal="right" vertical="center" wrapText="1"/>
    </xf>
    <xf numFmtId="165" fontId="17" fillId="36" borderId="14" xfId="0" applyNumberFormat="1" applyFont="1" applyFill="1" applyBorder="1"/>
    <xf numFmtId="0" fontId="17" fillId="36" borderId="11" xfId="0" applyFont="1" applyFill="1" applyBorder="1" applyAlignment="1">
      <alignment horizontal="center" vertical="center"/>
    </xf>
    <xf numFmtId="2" fontId="18" fillId="37" borderId="11" xfId="0" applyNumberFormat="1" applyFont="1" applyFill="1" applyBorder="1" applyAlignment="1">
      <alignment horizontal="right" vertical="center" wrapText="1"/>
    </xf>
    <xf numFmtId="0" fontId="18" fillId="35" borderId="11" xfId="0" applyFont="1" applyFill="1" applyBorder="1" applyAlignment="1">
      <alignment horizontal="center" wrapText="1"/>
    </xf>
    <xf numFmtId="0" fontId="18" fillId="35" borderId="11" xfId="0" applyFont="1" applyFill="1" applyBorder="1" applyAlignment="1">
      <alignment horizontal="center" vertical="center" wrapText="1"/>
    </xf>
    <xf numFmtId="0" fontId="18" fillId="35" borderId="11" xfId="0" applyFont="1" applyFill="1" applyBorder="1" applyAlignment="1">
      <alignment horizontal="left" vertical="center" wrapText="1"/>
    </xf>
    <xf numFmtId="164" fontId="18" fillId="35" borderId="11" xfId="0" applyNumberFormat="1" applyFont="1" applyFill="1" applyBorder="1" applyAlignment="1">
      <alignment horizontal="right" vertical="center" wrapText="1"/>
    </xf>
    <xf numFmtId="165" fontId="0" fillId="35" borderId="14" xfId="0" applyNumberFormat="1" applyFill="1" applyBorder="1"/>
    <xf numFmtId="0" fontId="0" fillId="35" borderId="11" xfId="0" applyFill="1" applyBorder="1" applyAlignment="1">
      <alignment horizontal="center" vertical="center"/>
    </xf>
    <xf numFmtId="164" fontId="18" fillId="34" borderId="11" xfId="0" applyNumberFormat="1" applyFont="1" applyFill="1" applyBorder="1" applyAlignment="1">
      <alignment horizontal="right" vertical="center" wrapText="1"/>
    </xf>
    <xf numFmtId="0" fontId="18" fillId="0" borderId="14" xfId="0" applyFont="1" applyBorder="1" applyAlignment="1">
      <alignment horizontal="left" wrapText="1"/>
    </xf>
    <xf numFmtId="2" fontId="18" fillId="35" borderId="14" xfId="0" applyNumberFormat="1" applyFont="1" applyFill="1" applyBorder="1" applyAlignment="1">
      <alignment horizontal="right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22682-1933-4FD0-B1CD-94C74A270065}" name="Tabla1" displayName="Tabla1" ref="B2:F419" totalsRowShown="0" headerRowDxfId="0">
  <autoFilter ref="B2:F419" xr:uid="{68422682-1933-4FD0-B1CD-94C74A270065}"/>
  <sortState xmlns:xlrd2="http://schemas.microsoft.com/office/spreadsheetml/2017/richdata2" ref="B3:F419">
    <sortCondition ref="B2:B419"/>
  </sortState>
  <tableColumns count="5">
    <tableColumn id="1" xr3:uid="{F050A5E6-1947-40E0-B3D1-3EB3B05F801A}" name="ID"/>
    <tableColumn id="2" xr3:uid="{158877F9-ADED-4347-A373-70CB66B02443}" name="NOMBRE"/>
    <tableColumn id="3" xr3:uid="{61273800-FCA2-497B-90BA-F0527FAE7909}" name="DIRECCION"/>
    <tableColumn id="4" xr3:uid="{4F74E9B7-7B48-4F1C-8176-5F515D0E98BD}" name="LATITUD"/>
    <tableColumn id="5" xr3:uid="{6DFE180D-90F7-4DB6-ACAF-4DD4CA979F5C}" name="LONGIT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435D-0DFB-4766-90C0-47C76A180857}">
  <dimension ref="A1:L70"/>
  <sheetViews>
    <sheetView tabSelected="1" workbookViewId="0">
      <selection activeCell="B5" sqref="B5"/>
    </sheetView>
  </sheetViews>
  <sheetFormatPr baseColWidth="10" defaultColWidth="8.875" defaultRowHeight="14.25"/>
  <cols>
    <col min="1" max="1" width="31.875" bestFit="1" customWidth="1"/>
    <col min="2" max="2" width="35.625" bestFit="1" customWidth="1"/>
    <col min="3" max="3" width="17" bestFit="1" customWidth="1"/>
    <col min="4" max="4" width="19.375" bestFit="1" customWidth="1"/>
    <col min="5" max="5" width="35.625" bestFit="1" customWidth="1"/>
    <col min="6" max="6" width="14.375" bestFit="1" customWidth="1"/>
    <col min="7" max="7" width="35.625" bestFit="1" customWidth="1"/>
    <col min="8" max="8" width="30.125" bestFit="1" customWidth="1"/>
    <col min="9" max="9" width="31.25" bestFit="1" customWidth="1"/>
    <col min="10" max="11" width="35.625" bestFit="1" customWidth="1"/>
    <col min="12" max="12" width="20.125" bestFit="1" customWidth="1"/>
  </cols>
  <sheetData>
    <row r="1" spans="1:12" ht="31.5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</row>
    <row r="2" spans="1:12" ht="15.75">
      <c r="A2" s="1" t="s">
        <v>4</v>
      </c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1" t="s">
        <v>6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>
      <c r="A4" s="1" t="s">
        <v>8</v>
      </c>
      <c r="B4" s="2">
        <v>63</v>
      </c>
      <c r="C4" s="3" t="s">
        <v>9</v>
      </c>
      <c r="D4" s="1" t="s">
        <v>10</v>
      </c>
      <c r="E4" s="2">
        <v>63</v>
      </c>
      <c r="F4" s="3"/>
      <c r="G4" s="3"/>
      <c r="H4" s="3"/>
      <c r="I4" s="3"/>
      <c r="J4" s="3"/>
      <c r="K4" s="3"/>
      <c r="L4" s="3"/>
    </row>
    <row r="5" spans="1:12" ht="16.5" thickBot="1">
      <c r="A5" s="1" t="s">
        <v>11</v>
      </c>
      <c r="B5" s="2" t="s">
        <v>12</v>
      </c>
      <c r="C5" s="3"/>
      <c r="D5" s="1" t="s">
        <v>13</v>
      </c>
      <c r="E5" s="2">
        <v>48</v>
      </c>
      <c r="F5" s="3"/>
      <c r="G5" s="3"/>
      <c r="H5" s="3"/>
      <c r="I5" s="3"/>
      <c r="J5" s="3"/>
      <c r="K5" s="3"/>
      <c r="L5" s="3"/>
    </row>
    <row r="6" spans="1:12" ht="48" thickBo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</row>
    <row r="7" spans="1:12" ht="75">
      <c r="A7" s="5">
        <v>24013578</v>
      </c>
      <c r="B7" s="5" t="s">
        <v>194</v>
      </c>
      <c r="C7" s="5">
        <v>23.3</v>
      </c>
      <c r="D7" s="5">
        <v>1</v>
      </c>
      <c r="E7" s="5" t="s">
        <v>50</v>
      </c>
      <c r="F7" s="5">
        <v>7101505202</v>
      </c>
      <c r="G7" s="5" t="s">
        <v>195</v>
      </c>
      <c r="H7" s="5">
        <v>86100310022</v>
      </c>
      <c r="I7" s="5" t="s">
        <v>196</v>
      </c>
      <c r="J7" s="5" t="s">
        <v>197</v>
      </c>
      <c r="K7" s="5">
        <v>2</v>
      </c>
      <c r="L7" s="5" t="s">
        <v>185</v>
      </c>
    </row>
    <row r="8" spans="1:12" ht="75">
      <c r="A8" s="5">
        <v>24013579</v>
      </c>
      <c r="B8" s="5" t="s">
        <v>203</v>
      </c>
      <c r="C8" s="5">
        <v>2.2000000000000002</v>
      </c>
      <c r="D8" s="5">
        <v>1</v>
      </c>
      <c r="E8" s="5" t="s">
        <v>50</v>
      </c>
      <c r="F8" s="5">
        <v>7101505202</v>
      </c>
      <c r="G8" s="5" t="s">
        <v>204</v>
      </c>
      <c r="H8" s="5">
        <v>73020204009</v>
      </c>
      <c r="I8" s="5" t="s">
        <v>205</v>
      </c>
      <c r="J8" s="5" t="s">
        <v>206</v>
      </c>
      <c r="K8" s="5">
        <v>2</v>
      </c>
      <c r="L8" s="5" t="s">
        <v>202</v>
      </c>
    </row>
    <row r="9" spans="1:12" ht="60">
      <c r="A9" s="5">
        <v>24013580</v>
      </c>
      <c r="B9" s="5" t="s">
        <v>207</v>
      </c>
      <c r="C9" s="5">
        <v>18.3</v>
      </c>
      <c r="D9" s="5">
        <v>1</v>
      </c>
      <c r="E9" s="5" t="s">
        <v>50</v>
      </c>
      <c r="F9" s="5">
        <v>7101505202</v>
      </c>
      <c r="G9" s="5" t="s">
        <v>208</v>
      </c>
      <c r="H9" s="5">
        <v>85112414891</v>
      </c>
      <c r="I9" s="5" t="s">
        <v>209</v>
      </c>
      <c r="J9" s="5" t="s">
        <v>210</v>
      </c>
      <c r="K9" s="5">
        <v>2</v>
      </c>
      <c r="L9" s="5" t="s">
        <v>211</v>
      </c>
    </row>
    <row r="10" spans="1:12" ht="60">
      <c r="A10" s="5">
        <v>24013581</v>
      </c>
      <c r="B10" s="5" t="s">
        <v>212</v>
      </c>
      <c r="C10" s="5">
        <v>5.3</v>
      </c>
      <c r="D10" s="5">
        <v>1</v>
      </c>
      <c r="E10" s="5" t="s">
        <v>50</v>
      </c>
      <c r="F10" s="5">
        <v>7101505202</v>
      </c>
      <c r="G10" s="5" t="s">
        <v>208</v>
      </c>
      <c r="H10" s="5">
        <v>85112414891</v>
      </c>
      <c r="I10" s="5" t="s">
        <v>209</v>
      </c>
      <c r="J10" s="5" t="s">
        <v>210</v>
      </c>
      <c r="K10" s="5">
        <v>2</v>
      </c>
      <c r="L10" s="5" t="s">
        <v>211</v>
      </c>
    </row>
    <row r="11" spans="1:12" ht="75">
      <c r="A11" s="5">
        <v>24013582</v>
      </c>
      <c r="B11" s="5" t="s">
        <v>105</v>
      </c>
      <c r="C11" s="5">
        <v>17.600000000000001</v>
      </c>
      <c r="D11" s="5">
        <v>1</v>
      </c>
      <c r="E11" s="5" t="s">
        <v>50</v>
      </c>
      <c r="F11" s="5">
        <v>7101505202</v>
      </c>
      <c r="G11" s="5" t="s">
        <v>106</v>
      </c>
      <c r="H11" s="5">
        <v>98050106492</v>
      </c>
      <c r="I11" s="5" t="s">
        <v>107</v>
      </c>
      <c r="J11" s="5" t="s">
        <v>108</v>
      </c>
      <c r="K11" s="5">
        <v>2</v>
      </c>
      <c r="L11" s="5" t="s">
        <v>104</v>
      </c>
    </row>
    <row r="12" spans="1:12" ht="60">
      <c r="A12" s="5">
        <v>24013583</v>
      </c>
      <c r="B12" s="5" t="s">
        <v>54</v>
      </c>
      <c r="C12" s="5">
        <v>17.899999999999999</v>
      </c>
      <c r="D12" s="5">
        <v>1</v>
      </c>
      <c r="E12" s="5" t="s">
        <v>50</v>
      </c>
      <c r="F12" s="5">
        <v>7101505202</v>
      </c>
      <c r="G12" s="5" t="s">
        <v>55</v>
      </c>
      <c r="H12" s="5">
        <v>71052329950</v>
      </c>
      <c r="I12" s="5" t="s">
        <v>56</v>
      </c>
      <c r="J12" s="5" t="s">
        <v>57</v>
      </c>
      <c r="K12" s="5">
        <v>2</v>
      </c>
      <c r="L12" s="5" t="s">
        <v>31</v>
      </c>
    </row>
    <row r="13" spans="1:12" ht="30">
      <c r="A13" s="5">
        <v>24013584</v>
      </c>
      <c r="B13" s="5" t="s">
        <v>49</v>
      </c>
      <c r="C13" s="5">
        <v>20.3</v>
      </c>
      <c r="D13" s="5">
        <v>1</v>
      </c>
      <c r="E13" s="5" t="s">
        <v>50</v>
      </c>
      <c r="F13" s="5">
        <v>7101505202</v>
      </c>
      <c r="G13" s="5" t="s">
        <v>51</v>
      </c>
      <c r="H13" s="5">
        <v>51100123531</v>
      </c>
      <c r="I13" s="5" t="s">
        <v>52</v>
      </c>
      <c r="J13" s="5" t="s">
        <v>53</v>
      </c>
      <c r="K13" s="5">
        <v>2</v>
      </c>
      <c r="L13" s="5" t="s">
        <v>31</v>
      </c>
    </row>
    <row r="14" spans="1:12" ht="45">
      <c r="A14" s="5">
        <v>24013585</v>
      </c>
      <c r="B14" s="5" t="s">
        <v>181</v>
      </c>
      <c r="C14" s="5">
        <v>16.100000000000001</v>
      </c>
      <c r="D14" s="5">
        <v>1</v>
      </c>
      <c r="E14" s="5" t="s">
        <v>50</v>
      </c>
      <c r="F14" s="5">
        <v>7101505202</v>
      </c>
      <c r="G14" s="5" t="s">
        <v>182</v>
      </c>
      <c r="H14" s="5">
        <v>58091007089</v>
      </c>
      <c r="I14" s="5" t="s">
        <v>183</v>
      </c>
      <c r="J14" s="5" t="s">
        <v>184</v>
      </c>
      <c r="K14" s="5">
        <v>2</v>
      </c>
      <c r="L14" s="5" t="s">
        <v>185</v>
      </c>
    </row>
    <row r="15" spans="1:12" ht="45">
      <c r="A15" s="5">
        <v>24013586</v>
      </c>
      <c r="B15" s="5" t="s">
        <v>186</v>
      </c>
      <c r="C15" s="5">
        <v>16.2</v>
      </c>
      <c r="D15" s="5">
        <v>1</v>
      </c>
      <c r="E15" s="5" t="s">
        <v>50</v>
      </c>
      <c r="F15" s="5">
        <v>7101505202</v>
      </c>
      <c r="G15" s="5" t="s">
        <v>182</v>
      </c>
      <c r="H15" s="5">
        <v>58091007089</v>
      </c>
      <c r="I15" s="5" t="s">
        <v>183</v>
      </c>
      <c r="J15" s="5" t="s">
        <v>184</v>
      </c>
      <c r="K15" s="5">
        <v>2</v>
      </c>
      <c r="L15" s="5" t="s">
        <v>185</v>
      </c>
    </row>
    <row r="16" spans="1:12" ht="45">
      <c r="A16" s="5">
        <v>24013587</v>
      </c>
      <c r="B16" s="5" t="s">
        <v>181</v>
      </c>
      <c r="C16" s="5">
        <v>17</v>
      </c>
      <c r="D16" s="5">
        <v>1</v>
      </c>
      <c r="E16" s="5" t="s">
        <v>50</v>
      </c>
      <c r="F16" s="5">
        <v>7101505202</v>
      </c>
      <c r="G16" s="5" t="s">
        <v>187</v>
      </c>
      <c r="H16" s="5">
        <v>57050500134</v>
      </c>
      <c r="I16" s="5" t="s">
        <v>183</v>
      </c>
      <c r="J16" s="5" t="s">
        <v>188</v>
      </c>
      <c r="K16" s="5">
        <v>2</v>
      </c>
      <c r="L16" s="5" t="s">
        <v>185</v>
      </c>
    </row>
    <row r="17" spans="1:12" ht="60">
      <c r="A17" s="5">
        <v>24013588</v>
      </c>
      <c r="B17" s="5" t="s">
        <v>248</v>
      </c>
      <c r="C17" s="5">
        <v>9.6999999999999993</v>
      </c>
      <c r="D17" s="5">
        <v>1</v>
      </c>
      <c r="E17" s="5" t="s">
        <v>50</v>
      </c>
      <c r="F17" s="5">
        <v>7101505202</v>
      </c>
      <c r="G17" s="5" t="s">
        <v>249</v>
      </c>
      <c r="H17" s="5">
        <v>55090805479</v>
      </c>
      <c r="I17" s="5" t="s">
        <v>250</v>
      </c>
      <c r="J17" s="5" t="s">
        <v>251</v>
      </c>
      <c r="K17" s="5">
        <v>2</v>
      </c>
      <c r="L17" s="5" t="s">
        <v>211</v>
      </c>
    </row>
    <row r="18" spans="1:12" ht="75">
      <c r="A18" s="5">
        <v>24013589</v>
      </c>
      <c r="B18" s="5" t="s">
        <v>222</v>
      </c>
      <c r="C18" s="5">
        <v>3.4</v>
      </c>
      <c r="D18" s="5">
        <v>1</v>
      </c>
      <c r="E18" s="5" t="s">
        <v>50</v>
      </c>
      <c r="F18" s="5">
        <v>7101505202</v>
      </c>
      <c r="G18" s="5" t="s">
        <v>223</v>
      </c>
      <c r="H18" s="5">
        <v>55051507953</v>
      </c>
      <c r="I18" s="5" t="s">
        <v>224</v>
      </c>
      <c r="J18" s="5" t="s">
        <v>225</v>
      </c>
      <c r="K18" s="5">
        <v>2</v>
      </c>
      <c r="L18" s="5" t="s">
        <v>79</v>
      </c>
    </row>
    <row r="19" spans="1:12" ht="60">
      <c r="A19" s="5">
        <v>24013606</v>
      </c>
      <c r="B19" s="5" t="s">
        <v>33</v>
      </c>
      <c r="C19" s="5">
        <v>25.88</v>
      </c>
      <c r="D19" s="5">
        <v>1</v>
      </c>
      <c r="E19" s="5" t="s">
        <v>100</v>
      </c>
      <c r="F19" s="5">
        <v>65082578945</v>
      </c>
      <c r="G19" s="5" t="s">
        <v>101</v>
      </c>
      <c r="H19" s="5">
        <v>2031966415</v>
      </c>
      <c r="I19" s="5" t="s">
        <v>102</v>
      </c>
      <c r="J19" s="5" t="s">
        <v>103</v>
      </c>
      <c r="K19" s="5">
        <v>2</v>
      </c>
      <c r="L19" s="5" t="s">
        <v>104</v>
      </c>
    </row>
    <row r="20" spans="1:12" ht="60">
      <c r="A20" s="5">
        <v>24013607</v>
      </c>
      <c r="B20" s="5" t="s">
        <v>81</v>
      </c>
      <c r="C20" s="5">
        <v>15.6</v>
      </c>
      <c r="D20" s="5">
        <v>1</v>
      </c>
      <c r="E20" s="5" t="s">
        <v>82</v>
      </c>
      <c r="F20" s="5">
        <v>71072105384</v>
      </c>
      <c r="G20" s="5" t="s">
        <v>83</v>
      </c>
      <c r="H20" s="5">
        <v>86100428388</v>
      </c>
      <c r="I20" s="5" t="s">
        <v>84</v>
      </c>
      <c r="J20" s="5" t="s">
        <v>85</v>
      </c>
      <c r="K20" s="5">
        <v>2</v>
      </c>
      <c r="L20" s="5" t="s">
        <v>79</v>
      </c>
    </row>
    <row r="21" spans="1:12" ht="75">
      <c r="A21" s="5">
        <v>24013608</v>
      </c>
      <c r="B21" s="5" t="s">
        <v>243</v>
      </c>
      <c r="C21" s="5">
        <v>20.2</v>
      </c>
      <c r="D21" s="5">
        <v>1</v>
      </c>
      <c r="E21" s="5" t="s">
        <v>244</v>
      </c>
      <c r="F21" s="5">
        <v>71072105384</v>
      </c>
      <c r="G21" s="5" t="s">
        <v>245</v>
      </c>
      <c r="H21" s="5">
        <v>99081710330</v>
      </c>
      <c r="I21" s="5" t="s">
        <v>246</v>
      </c>
      <c r="J21" s="5" t="s">
        <v>247</v>
      </c>
      <c r="K21" s="5">
        <v>2</v>
      </c>
      <c r="L21" s="5" t="s">
        <v>211</v>
      </c>
    </row>
    <row r="22" spans="1:12" ht="45">
      <c r="A22" s="5">
        <v>24013609</v>
      </c>
      <c r="B22" s="5" t="s">
        <v>58</v>
      </c>
      <c r="C22" s="5">
        <v>13.86</v>
      </c>
      <c r="D22" s="5">
        <v>1</v>
      </c>
      <c r="E22" s="5" t="s">
        <v>59</v>
      </c>
      <c r="F22" s="5">
        <v>65082578945</v>
      </c>
      <c r="G22" s="5" t="s">
        <v>60</v>
      </c>
      <c r="H22" s="5">
        <v>73050604116</v>
      </c>
      <c r="I22" s="5" t="s">
        <v>61</v>
      </c>
      <c r="J22" s="5" t="s">
        <v>62</v>
      </c>
      <c r="K22" s="5">
        <v>2</v>
      </c>
      <c r="L22" s="5" t="s">
        <v>63</v>
      </c>
    </row>
    <row r="23" spans="1:12" ht="45">
      <c r="A23" s="5">
        <v>24013610</v>
      </c>
      <c r="B23" s="5" t="s">
        <v>160</v>
      </c>
      <c r="C23" s="5">
        <v>24.5</v>
      </c>
      <c r="D23" s="5">
        <v>1</v>
      </c>
      <c r="E23" s="5" t="s">
        <v>149</v>
      </c>
      <c r="F23" s="5">
        <v>71072105384</v>
      </c>
      <c r="G23" s="5" t="s">
        <v>161</v>
      </c>
      <c r="H23" s="5">
        <v>89013021298</v>
      </c>
      <c r="I23" s="5" t="s">
        <v>151</v>
      </c>
      <c r="J23" s="5" t="s">
        <v>162</v>
      </c>
      <c r="K23" s="5">
        <v>2</v>
      </c>
      <c r="L23" s="5" t="s">
        <v>104</v>
      </c>
    </row>
    <row r="24" spans="1:12" ht="45">
      <c r="A24" s="5">
        <v>24013611</v>
      </c>
      <c r="B24" s="5" t="s">
        <v>153</v>
      </c>
      <c r="C24" s="5">
        <v>23.3</v>
      </c>
      <c r="D24" s="5">
        <v>1</v>
      </c>
      <c r="E24" s="5" t="s">
        <v>149</v>
      </c>
      <c r="F24" s="5">
        <v>71072105384</v>
      </c>
      <c r="G24" s="5" t="s">
        <v>154</v>
      </c>
      <c r="H24" s="5">
        <v>62061814832</v>
      </c>
      <c r="I24" s="5" t="s">
        <v>151</v>
      </c>
      <c r="J24" s="5" t="s">
        <v>155</v>
      </c>
      <c r="K24" s="5">
        <v>2</v>
      </c>
      <c r="L24" s="5" t="s">
        <v>104</v>
      </c>
    </row>
    <row r="25" spans="1:12" ht="45">
      <c r="A25" s="5">
        <v>24013612</v>
      </c>
      <c r="B25" s="5" t="s">
        <v>163</v>
      </c>
      <c r="C25" s="5">
        <v>10.66</v>
      </c>
      <c r="D25" s="5">
        <v>1</v>
      </c>
      <c r="E25" s="5" t="s">
        <v>149</v>
      </c>
      <c r="F25" s="5">
        <v>71072105384</v>
      </c>
      <c r="G25" s="5" t="s">
        <v>161</v>
      </c>
      <c r="H25" s="5">
        <v>89013021298</v>
      </c>
      <c r="I25" s="5" t="s">
        <v>151</v>
      </c>
      <c r="J25" s="5" t="s">
        <v>162</v>
      </c>
      <c r="K25" s="5">
        <v>2</v>
      </c>
      <c r="L25" s="5" t="s">
        <v>104</v>
      </c>
    </row>
    <row r="26" spans="1:12" ht="45">
      <c r="A26" s="5">
        <v>24013613</v>
      </c>
      <c r="B26" s="5" t="s">
        <v>156</v>
      </c>
      <c r="C26" s="5">
        <v>16.36</v>
      </c>
      <c r="D26" s="5">
        <v>1</v>
      </c>
      <c r="E26" s="5" t="s">
        <v>149</v>
      </c>
      <c r="F26" s="5">
        <v>71072105384</v>
      </c>
      <c r="G26" s="5" t="s">
        <v>157</v>
      </c>
      <c r="H26" s="5">
        <v>82120408750</v>
      </c>
      <c r="I26" s="5" t="s">
        <v>158</v>
      </c>
      <c r="J26" s="5" t="s">
        <v>159</v>
      </c>
      <c r="K26" s="5">
        <v>2</v>
      </c>
      <c r="L26" s="5" t="s">
        <v>104</v>
      </c>
    </row>
    <row r="27" spans="1:12" ht="45">
      <c r="A27" s="5">
        <v>24013614</v>
      </c>
      <c r="B27" s="5" t="s">
        <v>148</v>
      </c>
      <c r="C27" s="5">
        <v>9.66</v>
      </c>
      <c r="D27" s="5">
        <v>1</v>
      </c>
      <c r="E27" s="5" t="s">
        <v>149</v>
      </c>
      <c r="F27" s="5">
        <v>71072105384</v>
      </c>
      <c r="G27" s="5" t="s">
        <v>150</v>
      </c>
      <c r="H27" s="5">
        <v>95092030438</v>
      </c>
      <c r="I27" s="5" t="s">
        <v>151</v>
      </c>
      <c r="J27" s="5" t="s">
        <v>152</v>
      </c>
      <c r="K27" s="5">
        <v>2</v>
      </c>
      <c r="L27" s="5" t="s">
        <v>104</v>
      </c>
    </row>
    <row r="28" spans="1:12" ht="45">
      <c r="A28" s="5">
        <v>24013615</v>
      </c>
      <c r="B28" s="5" t="s">
        <v>238</v>
      </c>
      <c r="C28" s="5">
        <v>20</v>
      </c>
      <c r="D28" s="5">
        <v>1</v>
      </c>
      <c r="E28" s="5" t="s">
        <v>239</v>
      </c>
      <c r="F28" s="5">
        <v>71072105384</v>
      </c>
      <c r="G28" s="5" t="s">
        <v>240</v>
      </c>
      <c r="H28" s="5">
        <v>80112011915</v>
      </c>
      <c r="I28" s="5" t="s">
        <v>241</v>
      </c>
      <c r="J28" s="5" t="s">
        <v>242</v>
      </c>
      <c r="K28" s="5">
        <v>2</v>
      </c>
      <c r="L28" s="5" t="s">
        <v>211</v>
      </c>
    </row>
    <row r="29" spans="1:12" ht="45">
      <c r="A29" s="5">
        <v>24013616</v>
      </c>
      <c r="B29" s="5" t="s">
        <v>164</v>
      </c>
      <c r="C29" s="5">
        <v>30.56</v>
      </c>
      <c r="D29" s="5">
        <v>1</v>
      </c>
      <c r="E29" s="5" t="s">
        <v>165</v>
      </c>
      <c r="F29" s="5">
        <v>71072105384</v>
      </c>
      <c r="G29" s="5" t="s">
        <v>166</v>
      </c>
      <c r="H29" s="5">
        <v>64101932954</v>
      </c>
      <c r="I29" s="5" t="s">
        <v>167</v>
      </c>
      <c r="J29" s="5" t="s">
        <v>168</v>
      </c>
      <c r="K29" s="5">
        <v>2</v>
      </c>
      <c r="L29" s="5" t="s">
        <v>104</v>
      </c>
    </row>
    <row r="30" spans="1:12" ht="45">
      <c r="A30" s="5">
        <v>24013617</v>
      </c>
      <c r="B30" s="5" t="s">
        <v>169</v>
      </c>
      <c r="C30" s="5">
        <v>8.66</v>
      </c>
      <c r="D30" s="5">
        <v>1</v>
      </c>
      <c r="E30" s="5" t="s">
        <v>165</v>
      </c>
      <c r="F30" s="5">
        <v>71072105384</v>
      </c>
      <c r="G30" s="5" t="s">
        <v>166</v>
      </c>
      <c r="H30" s="5">
        <v>64101932954</v>
      </c>
      <c r="I30" s="5" t="s">
        <v>167</v>
      </c>
      <c r="J30" s="5" t="s">
        <v>168</v>
      </c>
      <c r="K30" s="5">
        <v>2</v>
      </c>
      <c r="L30" s="5" t="s">
        <v>104</v>
      </c>
    </row>
    <row r="31" spans="1:12" ht="30">
      <c r="A31" s="5">
        <v>24013618</v>
      </c>
      <c r="B31" s="5" t="s">
        <v>64</v>
      </c>
      <c r="C31" s="5">
        <v>20</v>
      </c>
      <c r="D31" s="5">
        <v>1</v>
      </c>
      <c r="E31" s="5" t="s">
        <v>65</v>
      </c>
      <c r="F31" s="5">
        <v>71072105384</v>
      </c>
      <c r="G31" s="5" t="s">
        <v>66</v>
      </c>
      <c r="H31" s="5">
        <v>76113014433</v>
      </c>
      <c r="I31" s="5" t="s">
        <v>67</v>
      </c>
      <c r="J31" s="5" t="s">
        <v>68</v>
      </c>
      <c r="K31" s="5">
        <v>2</v>
      </c>
      <c r="L31" s="5" t="s">
        <v>69</v>
      </c>
    </row>
    <row r="32" spans="1:12" ht="45">
      <c r="A32" s="5">
        <v>24013619</v>
      </c>
      <c r="B32" s="5" t="s">
        <v>33</v>
      </c>
      <c r="C32" s="5">
        <v>13.6</v>
      </c>
      <c r="D32" s="5">
        <v>1</v>
      </c>
      <c r="E32" s="5" t="s">
        <v>198</v>
      </c>
      <c r="F32" s="5">
        <v>71072105384</v>
      </c>
      <c r="G32" s="5" t="s">
        <v>199</v>
      </c>
      <c r="H32" s="5">
        <v>91052722586</v>
      </c>
      <c r="I32" s="5" t="s">
        <v>200</v>
      </c>
      <c r="J32" s="5" t="s">
        <v>201</v>
      </c>
      <c r="K32" s="5">
        <v>2</v>
      </c>
      <c r="L32" s="5" t="s">
        <v>202</v>
      </c>
    </row>
    <row r="33" spans="1:12" ht="45">
      <c r="A33" s="5">
        <v>24013620</v>
      </c>
      <c r="B33" s="5" t="s">
        <v>33</v>
      </c>
      <c r="C33" s="5">
        <v>12.8</v>
      </c>
      <c r="D33" s="5">
        <v>1</v>
      </c>
      <c r="E33" s="5" t="s">
        <v>198</v>
      </c>
      <c r="F33" s="5">
        <v>71072105384</v>
      </c>
      <c r="G33" s="5" t="s">
        <v>199</v>
      </c>
      <c r="H33" s="5">
        <v>91052722586</v>
      </c>
      <c r="I33" s="5" t="s">
        <v>200</v>
      </c>
      <c r="J33" s="5" t="s">
        <v>201</v>
      </c>
      <c r="K33" s="5">
        <v>2</v>
      </c>
      <c r="L33" s="5" t="s">
        <v>202</v>
      </c>
    </row>
    <row r="34" spans="1:12" ht="45">
      <c r="A34" s="5">
        <v>24013621</v>
      </c>
      <c r="B34" s="5" t="s">
        <v>90</v>
      </c>
      <c r="C34" s="5">
        <v>17.600000000000001</v>
      </c>
      <c r="D34" s="5">
        <v>1</v>
      </c>
      <c r="E34" s="5" t="s">
        <v>91</v>
      </c>
      <c r="F34" s="5">
        <v>71072105384</v>
      </c>
      <c r="G34" s="5" t="s">
        <v>92</v>
      </c>
      <c r="H34" s="5">
        <v>73080718076</v>
      </c>
      <c r="I34" s="5" t="s">
        <v>93</v>
      </c>
      <c r="J34" s="5" t="s">
        <v>94</v>
      </c>
      <c r="K34" s="5">
        <v>2</v>
      </c>
      <c r="L34" s="5" t="s">
        <v>69</v>
      </c>
    </row>
    <row r="35" spans="1:12" ht="45">
      <c r="A35" s="5">
        <v>24013622</v>
      </c>
      <c r="B35" s="5" t="s">
        <v>33</v>
      </c>
      <c r="C35" s="5">
        <v>33.200000000000003</v>
      </c>
      <c r="D35" s="5">
        <v>1</v>
      </c>
      <c r="E35" s="5" t="s">
        <v>218</v>
      </c>
      <c r="F35" s="5">
        <v>71072105384</v>
      </c>
      <c r="G35" s="5" t="s">
        <v>219</v>
      </c>
      <c r="H35" s="5">
        <v>57072902962</v>
      </c>
      <c r="I35" s="5" t="s">
        <v>220</v>
      </c>
      <c r="J35" s="5" t="s">
        <v>221</v>
      </c>
      <c r="K35" s="5">
        <v>2</v>
      </c>
      <c r="L35" s="5" t="s">
        <v>79</v>
      </c>
    </row>
    <row r="36" spans="1:12" ht="30">
      <c r="A36" s="5">
        <v>24013623</v>
      </c>
      <c r="B36" s="5" t="s">
        <v>33</v>
      </c>
      <c r="C36" s="5">
        <v>19.899999999999999</v>
      </c>
      <c r="D36" s="5">
        <v>1</v>
      </c>
      <c r="E36" s="5" t="s">
        <v>43</v>
      </c>
      <c r="F36" s="5">
        <v>71072105384</v>
      </c>
      <c r="G36" s="5" t="s">
        <v>44</v>
      </c>
      <c r="H36" s="5">
        <v>1113078583</v>
      </c>
      <c r="I36" s="5" t="s">
        <v>45</v>
      </c>
      <c r="J36" s="5" t="s">
        <v>46</v>
      </c>
      <c r="K36" s="5">
        <v>2</v>
      </c>
      <c r="L36" s="5" t="s">
        <v>31</v>
      </c>
    </row>
    <row r="37" spans="1:12" ht="30">
      <c r="A37" s="5">
        <v>24013624</v>
      </c>
      <c r="B37" s="5" t="s">
        <v>47</v>
      </c>
      <c r="C37" s="5">
        <v>19.7</v>
      </c>
      <c r="D37" s="5">
        <v>1</v>
      </c>
      <c r="E37" s="5" t="s">
        <v>43</v>
      </c>
      <c r="F37" s="5">
        <v>71072105384</v>
      </c>
      <c r="G37" s="5" t="s">
        <v>44</v>
      </c>
      <c r="H37" s="5">
        <v>1113078583</v>
      </c>
      <c r="I37" s="5" t="s">
        <v>45</v>
      </c>
      <c r="J37" s="5" t="s">
        <v>46</v>
      </c>
      <c r="K37" s="5">
        <v>2</v>
      </c>
      <c r="L37" s="5" t="s">
        <v>31</v>
      </c>
    </row>
    <row r="38" spans="1:12" ht="30">
      <c r="A38" s="5">
        <v>24013625</v>
      </c>
      <c r="B38" s="5" t="s">
        <v>48</v>
      </c>
      <c r="C38" s="5">
        <v>19.600000000000001</v>
      </c>
      <c r="D38" s="5">
        <v>1</v>
      </c>
      <c r="E38" s="5" t="s">
        <v>43</v>
      </c>
      <c r="F38" s="5">
        <v>71072105384</v>
      </c>
      <c r="G38" s="5" t="s">
        <v>44</v>
      </c>
      <c r="H38" s="5">
        <v>1113078583</v>
      </c>
      <c r="I38" s="5" t="s">
        <v>45</v>
      </c>
      <c r="J38" s="5" t="s">
        <v>46</v>
      </c>
      <c r="K38" s="5">
        <v>2</v>
      </c>
      <c r="L38" s="5" t="s">
        <v>31</v>
      </c>
    </row>
    <row r="39" spans="1:12" ht="30">
      <c r="A39" s="5">
        <v>24013626</v>
      </c>
      <c r="B39" s="5" t="s">
        <v>26</v>
      </c>
      <c r="C39" s="5">
        <v>19.399999999999999</v>
      </c>
      <c r="D39" s="5">
        <v>1</v>
      </c>
      <c r="E39" s="5" t="s">
        <v>27</v>
      </c>
      <c r="F39" s="5">
        <v>65082578945</v>
      </c>
      <c r="G39" s="5" t="s">
        <v>28</v>
      </c>
      <c r="H39" s="5">
        <v>7021166717</v>
      </c>
      <c r="I39" s="5" t="s">
        <v>29</v>
      </c>
      <c r="J39" s="5" t="s">
        <v>30</v>
      </c>
      <c r="K39" s="5">
        <v>2</v>
      </c>
      <c r="L39" s="5" t="s">
        <v>31</v>
      </c>
    </row>
    <row r="40" spans="1:12" ht="30">
      <c r="A40" s="5">
        <v>24013627</v>
      </c>
      <c r="B40" s="5" t="s">
        <v>32</v>
      </c>
      <c r="C40" s="5">
        <v>19.7</v>
      </c>
      <c r="D40" s="5">
        <v>1</v>
      </c>
      <c r="E40" s="5" t="s">
        <v>27</v>
      </c>
      <c r="F40" s="5">
        <v>65082578945</v>
      </c>
      <c r="G40" s="5" t="s">
        <v>28</v>
      </c>
      <c r="H40" s="5">
        <v>7021166717</v>
      </c>
      <c r="I40" s="5" t="s">
        <v>29</v>
      </c>
      <c r="J40" s="5" t="s">
        <v>30</v>
      </c>
      <c r="K40" s="5">
        <v>2</v>
      </c>
      <c r="L40" s="5" t="s">
        <v>31</v>
      </c>
    </row>
    <row r="41" spans="1:12" ht="30">
      <c r="A41" s="5">
        <v>24013628</v>
      </c>
      <c r="B41" s="5" t="s">
        <v>33</v>
      </c>
      <c r="C41" s="5">
        <v>19.899999999999999</v>
      </c>
      <c r="D41" s="5">
        <v>1</v>
      </c>
      <c r="E41" s="5" t="s">
        <v>34</v>
      </c>
      <c r="F41" s="5">
        <v>65082578945</v>
      </c>
      <c r="G41" s="5" t="s">
        <v>35</v>
      </c>
      <c r="H41" s="5">
        <v>62050600610</v>
      </c>
      <c r="I41" s="5" t="s">
        <v>36</v>
      </c>
      <c r="J41" s="5" t="s">
        <v>37</v>
      </c>
      <c r="K41" s="5">
        <v>2</v>
      </c>
      <c r="L41" s="5" t="s">
        <v>31</v>
      </c>
    </row>
    <row r="42" spans="1:12" ht="75">
      <c r="A42" s="5">
        <v>24013629</v>
      </c>
      <c r="B42" s="5" t="s">
        <v>119</v>
      </c>
      <c r="C42" s="5">
        <v>21.4</v>
      </c>
      <c r="D42" s="5">
        <v>1</v>
      </c>
      <c r="E42" s="5" t="s">
        <v>120</v>
      </c>
      <c r="F42" s="5">
        <v>71072105384</v>
      </c>
      <c r="G42" s="5" t="s">
        <v>121</v>
      </c>
      <c r="H42" s="5">
        <v>92032528343</v>
      </c>
      <c r="I42" s="5" t="s">
        <v>122</v>
      </c>
      <c r="J42" s="5" t="s">
        <v>123</v>
      </c>
      <c r="K42" s="5">
        <v>2</v>
      </c>
      <c r="L42" s="5" t="s">
        <v>104</v>
      </c>
    </row>
    <row r="43" spans="1:12" ht="60">
      <c r="A43" s="5">
        <v>24013630</v>
      </c>
      <c r="B43" s="5" t="s">
        <v>109</v>
      </c>
      <c r="C43" s="5">
        <v>2.68</v>
      </c>
      <c r="D43" s="5">
        <v>1</v>
      </c>
      <c r="E43" s="5" t="s">
        <v>110</v>
      </c>
      <c r="F43" s="5">
        <v>65082578945</v>
      </c>
      <c r="G43" s="5" t="s">
        <v>111</v>
      </c>
      <c r="H43" s="5">
        <v>60011300851</v>
      </c>
      <c r="I43" s="5" t="s">
        <v>112</v>
      </c>
      <c r="J43" s="5" t="s">
        <v>113</v>
      </c>
      <c r="K43" s="5">
        <v>2</v>
      </c>
      <c r="L43" s="5" t="s">
        <v>104</v>
      </c>
    </row>
    <row r="44" spans="1:12" ht="60">
      <c r="A44" s="5">
        <v>24013631</v>
      </c>
      <c r="B44" s="5" t="s">
        <v>124</v>
      </c>
      <c r="C44" s="5">
        <v>16.64</v>
      </c>
      <c r="D44" s="5">
        <v>1</v>
      </c>
      <c r="E44" s="5" t="s">
        <v>230</v>
      </c>
      <c r="F44" s="5">
        <v>65082578945</v>
      </c>
      <c r="G44" s="5" t="s">
        <v>231</v>
      </c>
      <c r="H44" s="5">
        <v>51081404862</v>
      </c>
      <c r="I44" s="5" t="s">
        <v>232</v>
      </c>
      <c r="J44" s="5" t="s">
        <v>233</v>
      </c>
      <c r="K44" s="5">
        <v>2</v>
      </c>
      <c r="L44" s="5" t="s">
        <v>211</v>
      </c>
    </row>
    <row r="45" spans="1:12" ht="45">
      <c r="A45" s="5">
        <v>24013632</v>
      </c>
      <c r="B45" s="5" t="s">
        <v>213</v>
      </c>
      <c r="C45" s="5">
        <v>13.5</v>
      </c>
      <c r="D45" s="5">
        <v>1</v>
      </c>
      <c r="E45" s="5" t="s">
        <v>214</v>
      </c>
      <c r="F45" s="5">
        <v>65082578945</v>
      </c>
      <c r="G45" s="5" t="s">
        <v>215</v>
      </c>
      <c r="H45" s="5">
        <v>89021832360</v>
      </c>
      <c r="I45" s="5" t="s">
        <v>216</v>
      </c>
      <c r="J45" s="5" t="s">
        <v>217</v>
      </c>
      <c r="K45" s="5">
        <v>2</v>
      </c>
      <c r="L45" s="5" t="s">
        <v>211</v>
      </c>
    </row>
    <row r="46" spans="1:12" ht="60">
      <c r="A46" s="5">
        <v>24013633</v>
      </c>
      <c r="B46" s="5" t="s">
        <v>33</v>
      </c>
      <c r="C46" s="5">
        <v>20</v>
      </c>
      <c r="D46" s="5">
        <v>1</v>
      </c>
      <c r="E46" s="5" t="s">
        <v>234</v>
      </c>
      <c r="F46" s="5">
        <v>71072105384</v>
      </c>
      <c r="G46" s="5" t="s">
        <v>235</v>
      </c>
      <c r="H46" s="5">
        <v>97012210810</v>
      </c>
      <c r="I46" s="5" t="s">
        <v>236</v>
      </c>
      <c r="J46" s="5" t="s">
        <v>237</v>
      </c>
      <c r="K46" s="5">
        <v>2</v>
      </c>
      <c r="L46" s="5" t="s">
        <v>211</v>
      </c>
    </row>
    <row r="47" spans="1:12" ht="60">
      <c r="A47" s="5">
        <v>24013634</v>
      </c>
      <c r="B47" s="5" t="s">
        <v>33</v>
      </c>
      <c r="C47" s="5">
        <v>19.399999999999999</v>
      </c>
      <c r="D47" s="5">
        <v>1</v>
      </c>
      <c r="E47" s="5" t="s">
        <v>234</v>
      </c>
      <c r="F47" s="5">
        <v>71072105384</v>
      </c>
      <c r="G47" s="5" t="s">
        <v>235</v>
      </c>
      <c r="H47" s="5">
        <v>97012210810</v>
      </c>
      <c r="I47" s="5" t="s">
        <v>236</v>
      </c>
      <c r="J47" s="5" t="s">
        <v>237</v>
      </c>
      <c r="K47" s="5">
        <v>2</v>
      </c>
      <c r="L47" s="5" t="s">
        <v>211</v>
      </c>
    </row>
    <row r="48" spans="1:12" ht="45">
      <c r="A48" s="5">
        <v>24013635</v>
      </c>
      <c r="B48" s="5" t="s">
        <v>124</v>
      </c>
      <c r="C48" s="5">
        <v>26.7</v>
      </c>
      <c r="D48" s="5">
        <v>1</v>
      </c>
      <c r="E48" s="5" t="s">
        <v>125</v>
      </c>
      <c r="F48" s="5">
        <v>71072105384</v>
      </c>
      <c r="G48" s="5" t="s">
        <v>126</v>
      </c>
      <c r="H48" s="5">
        <v>66073027675</v>
      </c>
      <c r="I48" s="5" t="s">
        <v>127</v>
      </c>
      <c r="J48" s="5" t="s">
        <v>128</v>
      </c>
      <c r="K48" s="5">
        <v>2</v>
      </c>
      <c r="L48" s="5" t="s">
        <v>104</v>
      </c>
    </row>
    <row r="49" spans="1:12" ht="60">
      <c r="A49" s="5">
        <v>24013636</v>
      </c>
      <c r="B49" s="5" t="s">
        <v>114</v>
      </c>
      <c r="C49" s="5">
        <v>16.100000000000001</v>
      </c>
      <c r="D49" s="5">
        <v>1</v>
      </c>
      <c r="E49" s="5" t="s">
        <v>115</v>
      </c>
      <c r="F49" s="5">
        <v>71072105384</v>
      </c>
      <c r="G49" s="5" t="s">
        <v>116</v>
      </c>
      <c r="H49" s="5">
        <v>66083001825</v>
      </c>
      <c r="I49" s="5" t="s">
        <v>117</v>
      </c>
      <c r="J49" s="5" t="s">
        <v>118</v>
      </c>
      <c r="K49" s="5">
        <v>2</v>
      </c>
      <c r="L49" s="5" t="s">
        <v>104</v>
      </c>
    </row>
    <row r="50" spans="1:12" ht="30">
      <c r="A50" s="5">
        <v>24013637</v>
      </c>
      <c r="B50" s="5" t="s">
        <v>170</v>
      </c>
      <c r="C50" s="5">
        <v>5.0999999999999996</v>
      </c>
      <c r="D50" s="5">
        <v>1</v>
      </c>
      <c r="E50" s="5" t="s">
        <v>171</v>
      </c>
      <c r="F50" s="5">
        <v>70031598704</v>
      </c>
      <c r="G50" s="5" t="s">
        <v>172</v>
      </c>
      <c r="H50" s="5">
        <v>82090801650</v>
      </c>
      <c r="I50" s="5" t="s">
        <v>173</v>
      </c>
      <c r="J50" s="5" t="s">
        <v>174</v>
      </c>
      <c r="K50" s="5">
        <v>2</v>
      </c>
      <c r="L50" s="5" t="s">
        <v>104</v>
      </c>
    </row>
    <row r="51" spans="1:12" ht="45">
      <c r="A51" s="5">
        <v>24013638</v>
      </c>
      <c r="B51" s="5" t="s">
        <v>70</v>
      </c>
      <c r="C51" s="5">
        <v>25</v>
      </c>
      <c r="D51" s="5">
        <v>1</v>
      </c>
      <c r="E51" s="5" t="s">
        <v>71</v>
      </c>
      <c r="F51" s="5">
        <v>71072105384</v>
      </c>
      <c r="G51" s="5" t="s">
        <v>72</v>
      </c>
      <c r="H51" s="5">
        <v>92980571</v>
      </c>
      <c r="I51" s="5" t="s">
        <v>73</v>
      </c>
      <c r="J51" s="5" t="s">
        <v>74</v>
      </c>
      <c r="K51" s="5">
        <v>2</v>
      </c>
      <c r="L51" s="5" t="s">
        <v>69</v>
      </c>
    </row>
    <row r="52" spans="1:12" ht="45">
      <c r="A52" s="5">
        <v>24013639</v>
      </c>
      <c r="B52" s="5" t="s">
        <v>32</v>
      </c>
      <c r="C52" s="5">
        <v>18.399999999999999</v>
      </c>
      <c r="D52" s="5">
        <v>1</v>
      </c>
      <c r="E52" s="5" t="s">
        <v>75</v>
      </c>
      <c r="F52" s="5">
        <v>7101505202</v>
      </c>
      <c r="G52" s="5" t="s">
        <v>76</v>
      </c>
      <c r="H52" s="5">
        <v>77070625219</v>
      </c>
      <c r="I52" s="5" t="s">
        <v>77</v>
      </c>
      <c r="J52" s="5" t="s">
        <v>78</v>
      </c>
      <c r="K52" s="5">
        <v>2</v>
      </c>
      <c r="L52" s="5" t="s">
        <v>79</v>
      </c>
    </row>
    <row r="53" spans="1:12" ht="45">
      <c r="A53" s="5">
        <v>24013640</v>
      </c>
      <c r="B53" s="5" t="s">
        <v>80</v>
      </c>
      <c r="C53" s="5">
        <v>14.2</v>
      </c>
      <c r="D53" s="5">
        <v>1</v>
      </c>
      <c r="E53" s="5" t="s">
        <v>75</v>
      </c>
      <c r="F53" s="5">
        <v>7101505202</v>
      </c>
      <c r="G53" s="5" t="s">
        <v>76</v>
      </c>
      <c r="H53" s="5">
        <v>77070625219</v>
      </c>
      <c r="I53" s="5" t="s">
        <v>77</v>
      </c>
      <c r="J53" s="5" t="s">
        <v>78</v>
      </c>
      <c r="K53" s="5">
        <v>2</v>
      </c>
      <c r="L53" s="5" t="s">
        <v>79</v>
      </c>
    </row>
    <row r="54" spans="1:12" ht="45">
      <c r="A54" s="5">
        <v>24013641</v>
      </c>
      <c r="B54" s="5" t="s">
        <v>33</v>
      </c>
      <c r="C54" s="5">
        <v>8.3800000000000008</v>
      </c>
      <c r="D54" s="5">
        <v>1</v>
      </c>
      <c r="E54" s="5" t="s">
        <v>38</v>
      </c>
      <c r="F54" s="5">
        <v>7101505202</v>
      </c>
      <c r="G54" s="5" t="s">
        <v>39</v>
      </c>
      <c r="H54" s="5">
        <v>79080400017</v>
      </c>
      <c r="I54" s="5" t="s">
        <v>40</v>
      </c>
      <c r="J54" s="5" t="s">
        <v>41</v>
      </c>
      <c r="K54" s="5">
        <v>2</v>
      </c>
      <c r="L54" s="5" t="s">
        <v>31</v>
      </c>
    </row>
    <row r="55" spans="1:12" ht="45">
      <c r="A55" s="5">
        <v>24013642</v>
      </c>
      <c r="B55" s="5" t="s">
        <v>42</v>
      </c>
      <c r="C55" s="5">
        <v>6.82</v>
      </c>
      <c r="D55" s="5">
        <v>1</v>
      </c>
      <c r="E55" s="5" t="s">
        <v>38</v>
      </c>
      <c r="F55" s="5">
        <v>7101505202</v>
      </c>
      <c r="G55" s="5" t="s">
        <v>39</v>
      </c>
      <c r="H55" s="5">
        <v>79080400017</v>
      </c>
      <c r="I55" s="5" t="s">
        <v>40</v>
      </c>
      <c r="J55" s="5" t="s">
        <v>41</v>
      </c>
      <c r="K55" s="5">
        <v>2</v>
      </c>
      <c r="L55" s="5" t="s">
        <v>31</v>
      </c>
    </row>
    <row r="56" spans="1:12" ht="75">
      <c r="A56" s="5">
        <v>24013643</v>
      </c>
      <c r="B56" s="5" t="s">
        <v>175</v>
      </c>
      <c r="C56" s="5">
        <v>15.58</v>
      </c>
      <c r="D56" s="5">
        <v>1</v>
      </c>
      <c r="E56" s="5" t="s">
        <v>176</v>
      </c>
      <c r="F56" s="5">
        <v>7101505202</v>
      </c>
      <c r="G56" s="5" t="s">
        <v>177</v>
      </c>
      <c r="H56" s="5">
        <v>55020303952</v>
      </c>
      <c r="I56" s="5" t="s">
        <v>178</v>
      </c>
      <c r="J56" s="5" t="s">
        <v>179</v>
      </c>
      <c r="K56" s="5">
        <v>2</v>
      </c>
      <c r="L56" s="5" t="s">
        <v>104</v>
      </c>
    </row>
    <row r="57" spans="1:12" ht="75">
      <c r="A57" s="5">
        <v>24013644</v>
      </c>
      <c r="B57" s="5" t="s">
        <v>180</v>
      </c>
      <c r="C57" s="5">
        <v>4.62</v>
      </c>
      <c r="D57" s="5">
        <v>1</v>
      </c>
      <c r="E57" s="5" t="s">
        <v>176</v>
      </c>
      <c r="F57" s="5">
        <v>7101505202</v>
      </c>
      <c r="G57" s="5" t="s">
        <v>177</v>
      </c>
      <c r="H57" s="5">
        <v>55020303952</v>
      </c>
      <c r="I57" s="5" t="s">
        <v>178</v>
      </c>
      <c r="J57" s="5" t="s">
        <v>179</v>
      </c>
      <c r="K57" s="5">
        <v>2</v>
      </c>
      <c r="L57" s="5" t="s">
        <v>104</v>
      </c>
    </row>
    <row r="58" spans="1:12" ht="60">
      <c r="A58" s="5">
        <v>24013645</v>
      </c>
      <c r="B58" s="5" t="s">
        <v>33</v>
      </c>
      <c r="C58" s="5">
        <v>24.8</v>
      </c>
      <c r="D58" s="5">
        <v>1</v>
      </c>
      <c r="E58" s="5" t="s">
        <v>86</v>
      </c>
      <c r="F58" s="5">
        <v>7101505202</v>
      </c>
      <c r="G58" s="5" t="s">
        <v>87</v>
      </c>
      <c r="H58" s="5">
        <v>87112434653</v>
      </c>
      <c r="I58" s="5" t="s">
        <v>88</v>
      </c>
      <c r="J58" s="5" t="s">
        <v>89</v>
      </c>
      <c r="K58" s="5">
        <v>2</v>
      </c>
      <c r="L58" s="5" t="s">
        <v>79</v>
      </c>
    </row>
    <row r="59" spans="1:12" ht="60">
      <c r="A59" s="5">
        <v>24013646</v>
      </c>
      <c r="B59" s="5" t="s">
        <v>33</v>
      </c>
      <c r="C59" s="5">
        <v>13.1</v>
      </c>
      <c r="D59" s="5">
        <v>1</v>
      </c>
      <c r="E59" s="5" t="s">
        <v>86</v>
      </c>
      <c r="F59" s="5">
        <v>7101505202</v>
      </c>
      <c r="G59" s="5" t="s">
        <v>87</v>
      </c>
      <c r="H59" s="5">
        <v>87112434653</v>
      </c>
      <c r="I59" s="5" t="s">
        <v>88</v>
      </c>
      <c r="J59" s="5" t="s">
        <v>89</v>
      </c>
      <c r="K59" s="5">
        <v>2</v>
      </c>
      <c r="L59" s="5" t="s">
        <v>79</v>
      </c>
    </row>
    <row r="60" spans="1:12" ht="45">
      <c r="A60" s="5">
        <v>24013647</v>
      </c>
      <c r="B60" s="5" t="s">
        <v>33</v>
      </c>
      <c r="C60" s="5">
        <v>19.2</v>
      </c>
      <c r="D60" s="5">
        <v>1</v>
      </c>
      <c r="E60" s="5" t="s">
        <v>239</v>
      </c>
      <c r="F60" s="5">
        <v>71072105384</v>
      </c>
      <c r="G60" s="5" t="s">
        <v>240</v>
      </c>
      <c r="H60" s="5">
        <v>80112011915</v>
      </c>
      <c r="I60" s="5" t="s">
        <v>241</v>
      </c>
      <c r="J60" s="5" t="s">
        <v>242</v>
      </c>
      <c r="K60" s="5">
        <v>2</v>
      </c>
      <c r="L60" s="5" t="s">
        <v>211</v>
      </c>
    </row>
    <row r="61" spans="1:12" ht="45">
      <c r="A61" s="5">
        <v>24013648</v>
      </c>
      <c r="B61" s="5" t="s">
        <v>189</v>
      </c>
      <c r="C61" s="5">
        <v>2.6</v>
      </c>
      <c r="D61" s="5">
        <v>1</v>
      </c>
      <c r="E61" s="5" t="s">
        <v>190</v>
      </c>
      <c r="F61" s="5">
        <v>71072105384</v>
      </c>
      <c r="G61" s="5" t="s">
        <v>191</v>
      </c>
      <c r="H61" s="5">
        <v>57101900045</v>
      </c>
      <c r="I61" s="5" t="s">
        <v>192</v>
      </c>
      <c r="J61" s="5" t="s">
        <v>193</v>
      </c>
      <c r="K61" s="5">
        <v>2</v>
      </c>
      <c r="L61" s="5" t="s">
        <v>185</v>
      </c>
    </row>
    <row r="62" spans="1:12" ht="45">
      <c r="A62" s="5">
        <v>24013649</v>
      </c>
      <c r="B62" s="5" t="s">
        <v>33</v>
      </c>
      <c r="C62" s="5">
        <v>16.5</v>
      </c>
      <c r="D62" s="5">
        <v>1</v>
      </c>
      <c r="E62" s="5" t="s">
        <v>226</v>
      </c>
      <c r="F62" s="5">
        <v>71072105384</v>
      </c>
      <c r="G62" s="5" t="s">
        <v>227</v>
      </c>
      <c r="H62" s="5">
        <v>62032525924</v>
      </c>
      <c r="I62" s="5" t="s">
        <v>228</v>
      </c>
      <c r="J62" s="5" t="s">
        <v>229</v>
      </c>
      <c r="K62" s="5">
        <v>2</v>
      </c>
      <c r="L62" s="5" t="s">
        <v>211</v>
      </c>
    </row>
    <row r="63" spans="1:12" ht="60">
      <c r="A63" s="5">
        <v>24013650</v>
      </c>
      <c r="B63" s="5" t="s">
        <v>33</v>
      </c>
      <c r="C63" s="5">
        <v>17</v>
      </c>
      <c r="D63" s="5">
        <v>1</v>
      </c>
      <c r="E63" s="5" t="s">
        <v>252</v>
      </c>
      <c r="F63" s="5">
        <v>7101505202</v>
      </c>
      <c r="G63" s="5" t="s">
        <v>253</v>
      </c>
      <c r="H63" s="5">
        <v>89100130152</v>
      </c>
      <c r="I63" s="5" t="s">
        <v>254</v>
      </c>
      <c r="J63" s="5" t="s">
        <v>255</v>
      </c>
      <c r="K63" s="5">
        <v>2</v>
      </c>
      <c r="L63" s="5" t="s">
        <v>211</v>
      </c>
    </row>
    <row r="64" spans="1:12" ht="60">
      <c r="A64" s="5">
        <v>24013651</v>
      </c>
      <c r="B64" s="5" t="s">
        <v>133</v>
      </c>
      <c r="C64" s="5">
        <v>19.84</v>
      </c>
      <c r="D64" s="5">
        <v>1</v>
      </c>
      <c r="E64" s="5" t="s">
        <v>134</v>
      </c>
      <c r="F64" s="5">
        <v>71072105384</v>
      </c>
      <c r="G64" s="5" t="s">
        <v>135</v>
      </c>
      <c r="H64" s="5">
        <v>56070327280</v>
      </c>
      <c r="I64" s="5" t="s">
        <v>136</v>
      </c>
      <c r="J64" s="5" t="s">
        <v>137</v>
      </c>
      <c r="K64" s="5">
        <v>2</v>
      </c>
      <c r="L64" s="5" t="s">
        <v>104</v>
      </c>
    </row>
    <row r="65" spans="1:12" ht="60">
      <c r="A65" s="5">
        <v>24013652</v>
      </c>
      <c r="B65" s="5" t="s">
        <v>133</v>
      </c>
      <c r="C65" s="5">
        <v>19.48</v>
      </c>
      <c r="D65" s="5">
        <v>1</v>
      </c>
      <c r="E65" s="5" t="s">
        <v>134</v>
      </c>
      <c r="F65" s="5">
        <v>71072105384</v>
      </c>
      <c r="G65" s="5" t="s">
        <v>135</v>
      </c>
      <c r="H65" s="5">
        <v>56070327280</v>
      </c>
      <c r="I65" s="5" t="s">
        <v>136</v>
      </c>
      <c r="J65" s="5" t="s">
        <v>137</v>
      </c>
      <c r="K65" s="5">
        <v>2</v>
      </c>
      <c r="L65" s="5" t="s">
        <v>104</v>
      </c>
    </row>
    <row r="66" spans="1:12" ht="60">
      <c r="A66" s="5">
        <v>24013653</v>
      </c>
      <c r="B66" s="5" t="s">
        <v>95</v>
      </c>
      <c r="C66" s="5">
        <v>30.5</v>
      </c>
      <c r="D66" s="5">
        <v>1</v>
      </c>
      <c r="E66" s="5" t="s">
        <v>96</v>
      </c>
      <c r="F66" s="5">
        <v>65082578945</v>
      </c>
      <c r="G66" s="5" t="s">
        <v>97</v>
      </c>
      <c r="H66" s="5">
        <v>91113042453</v>
      </c>
      <c r="I66" s="5" t="s">
        <v>98</v>
      </c>
      <c r="J66" s="5" t="s">
        <v>99</v>
      </c>
      <c r="K66" s="5">
        <v>2</v>
      </c>
      <c r="L66" s="5" t="s">
        <v>69</v>
      </c>
    </row>
    <row r="67" spans="1:12" ht="45">
      <c r="A67" s="5">
        <v>24013654</v>
      </c>
      <c r="B67" s="5" t="s">
        <v>138</v>
      </c>
      <c r="C67" s="5">
        <v>41.2</v>
      </c>
      <c r="D67" s="5">
        <v>1</v>
      </c>
      <c r="E67" s="5" t="s">
        <v>139</v>
      </c>
      <c r="F67" s="5">
        <v>71072105384</v>
      </c>
      <c r="G67" s="5" t="s">
        <v>140</v>
      </c>
      <c r="H67" s="5">
        <v>95040930501</v>
      </c>
      <c r="I67" s="5" t="s">
        <v>141</v>
      </c>
      <c r="J67" s="5" t="s">
        <v>142</v>
      </c>
      <c r="K67" s="5">
        <v>2</v>
      </c>
      <c r="L67" s="5" t="s">
        <v>104</v>
      </c>
    </row>
    <row r="68" spans="1:12" ht="60">
      <c r="A68" s="5">
        <v>24013655</v>
      </c>
      <c r="B68" s="5" t="s">
        <v>33</v>
      </c>
      <c r="C68" s="5">
        <v>36.700000000000003</v>
      </c>
      <c r="D68" s="5">
        <v>1</v>
      </c>
      <c r="E68" s="5" t="s">
        <v>129</v>
      </c>
      <c r="F68" s="5">
        <v>71072105384</v>
      </c>
      <c r="G68" s="5" t="s">
        <v>130</v>
      </c>
      <c r="H68" s="5">
        <v>20665692</v>
      </c>
      <c r="I68" s="5" t="s">
        <v>131</v>
      </c>
      <c r="J68" s="5" t="s">
        <v>132</v>
      </c>
      <c r="K68" s="5">
        <v>2</v>
      </c>
      <c r="L68" s="5" t="s">
        <v>104</v>
      </c>
    </row>
    <row r="69" spans="1:12" ht="45">
      <c r="A69" s="5">
        <v>24013656</v>
      </c>
      <c r="B69" s="5" t="s">
        <v>143</v>
      </c>
      <c r="C69" s="5">
        <v>19.3</v>
      </c>
      <c r="D69" s="5">
        <v>1</v>
      </c>
      <c r="E69" s="5" t="s">
        <v>144</v>
      </c>
      <c r="F69" s="5">
        <v>65082578945</v>
      </c>
      <c r="G69" s="5" t="s">
        <v>145</v>
      </c>
      <c r="H69" s="5">
        <v>87112617772</v>
      </c>
      <c r="I69" s="5" t="s">
        <v>146</v>
      </c>
      <c r="J69" s="5" t="s">
        <v>147</v>
      </c>
      <c r="K69" s="5">
        <v>2</v>
      </c>
      <c r="L69" s="5" t="s">
        <v>104</v>
      </c>
    </row>
    <row r="70" spans="1:12" ht="15.75">
      <c r="B70" s="3"/>
      <c r="C70" s="6">
        <v>1096.68</v>
      </c>
      <c r="D70" s="6">
        <v>63</v>
      </c>
      <c r="E70" s="3"/>
      <c r="F70" s="3"/>
      <c r="G70" s="3"/>
      <c r="H70" s="3"/>
      <c r="I70" s="3"/>
      <c r="J70" s="3"/>
      <c r="K70" s="3"/>
      <c r="L70" s="3"/>
    </row>
  </sheetData>
  <autoFilter ref="A6:L6" xr:uid="{2338435D-0DFB-4766-90C0-47C76A180857}">
    <sortState xmlns:xlrd2="http://schemas.microsoft.com/office/spreadsheetml/2017/richdata2" ref="A7:L70">
      <sortCondition ref="A6"/>
    </sortState>
  </autoFilter>
  <sortState xmlns:xlrd2="http://schemas.microsoft.com/office/spreadsheetml/2017/richdata2" ref="A7:L69">
    <sortCondition ref="A6:A69"/>
  </sortState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230C-28C5-4401-B877-D49397F93E10}">
  <dimension ref="B1:W309"/>
  <sheetViews>
    <sheetView zoomScale="85" zoomScaleNormal="85" workbookViewId="0">
      <selection activeCell="M18" sqref="M18"/>
    </sheetView>
  </sheetViews>
  <sheetFormatPr baseColWidth="10" defaultRowHeight="15.6" customHeight="1"/>
  <cols>
    <col min="1" max="1" width="3.375" customWidth="1"/>
    <col min="2" max="2" width="10.5" hidden="1" customWidth="1"/>
    <col min="3" max="3" width="10.375" hidden="1" customWidth="1"/>
    <col min="4" max="4" width="11.25" hidden="1" customWidth="1"/>
    <col min="5" max="5" width="11.625" hidden="1" customWidth="1"/>
    <col min="6" max="6" width="107.5" hidden="1" customWidth="1"/>
    <col min="7" max="7" width="8.125" hidden="1" customWidth="1"/>
    <col min="8" max="9" width="11.25" hidden="1" customWidth="1"/>
    <col min="10" max="10" width="37.875" hidden="1" customWidth="1"/>
    <col min="11" max="11" width="14.25" hidden="1" customWidth="1"/>
    <col min="12" max="12" width="14.75" customWidth="1"/>
    <col min="13" max="13" width="49.875" customWidth="1"/>
    <col min="14" max="14" width="20.375" customWidth="1"/>
    <col min="15" max="16" width="13.5" hidden="1" customWidth="1"/>
    <col min="17" max="17" width="153.25" customWidth="1"/>
    <col min="18" max="18" width="11.25" hidden="1" customWidth="1"/>
    <col min="19" max="19" width="26.625" customWidth="1"/>
    <col min="20" max="20" width="12.125" customWidth="1"/>
    <col min="21" max="21" width="12.5" customWidth="1"/>
    <col min="22" max="22" width="11.25" customWidth="1"/>
    <col min="23" max="23" width="13.75" style="24" hidden="1" customWidth="1"/>
  </cols>
  <sheetData>
    <row r="1" spans="2:23" ht="15.6" customHeight="1" thickBot="1"/>
    <row r="2" spans="2:23" ht="15.6" customHeight="1" thickBot="1">
      <c r="B2" s="21" t="s">
        <v>269</v>
      </c>
      <c r="C2" s="29" t="s">
        <v>266</v>
      </c>
      <c r="D2" s="22" t="s">
        <v>266</v>
      </c>
      <c r="E2" s="22" t="s">
        <v>266</v>
      </c>
      <c r="F2" s="22" t="s">
        <v>265</v>
      </c>
      <c r="G2" s="22" t="s">
        <v>264</v>
      </c>
      <c r="H2" s="22" t="s">
        <v>263</v>
      </c>
      <c r="I2" s="22" t="s">
        <v>1104</v>
      </c>
      <c r="J2" s="22" t="s">
        <v>262</v>
      </c>
      <c r="K2" s="22" t="s">
        <v>261</v>
      </c>
      <c r="L2" s="22" t="s">
        <v>258</v>
      </c>
      <c r="M2" s="22" t="s">
        <v>259</v>
      </c>
      <c r="N2" s="22" t="s">
        <v>260</v>
      </c>
      <c r="O2" s="22" t="s">
        <v>268</v>
      </c>
      <c r="P2" s="22" t="s">
        <v>267</v>
      </c>
      <c r="Q2" s="22" t="s">
        <v>257</v>
      </c>
      <c r="R2" s="22" t="s">
        <v>256</v>
      </c>
      <c r="S2" s="22" t="s">
        <v>1678</v>
      </c>
      <c r="T2" s="23" t="s">
        <v>1679</v>
      </c>
      <c r="U2" s="26" t="s">
        <v>1196</v>
      </c>
      <c r="V2" s="27" t="s">
        <v>1197</v>
      </c>
      <c r="W2" s="27" t="s">
        <v>1677</v>
      </c>
    </row>
    <row r="3" spans="2:23" ht="15.6" customHeight="1">
      <c r="B3" s="16">
        <v>2864</v>
      </c>
      <c r="C3" s="16" t="str">
        <f t="shared" ref="C3:C66" si="0">CONCATENATE(B3,"-",RIGHT(D3,4))</f>
        <v>2864-3655</v>
      </c>
      <c r="D3" s="16">
        <v>24013655</v>
      </c>
      <c r="E3" s="16" t="str">
        <f t="shared" ref="E3:E66" si="1">CONCATENATE(B3," - ",RIGHT(D3,4))</f>
        <v>2864 - 3655</v>
      </c>
      <c r="F3" s="63" t="s">
        <v>33</v>
      </c>
      <c r="G3" s="64">
        <v>36.700000000000003</v>
      </c>
      <c r="H3" s="19">
        <v>1</v>
      </c>
      <c r="I3" s="13">
        <v>2915.4</v>
      </c>
      <c r="J3" s="17" t="s">
        <v>129</v>
      </c>
      <c r="K3" s="19">
        <v>71072105384</v>
      </c>
      <c r="L3" s="19">
        <v>20665692</v>
      </c>
      <c r="M3" s="17" t="s">
        <v>130</v>
      </c>
      <c r="N3" s="16" t="s">
        <v>131</v>
      </c>
      <c r="O3" s="19" t="str">
        <f t="shared" ref="O3:O66" si="2">LEFT(N3,8)</f>
        <v>59676909</v>
      </c>
      <c r="P3" s="19" t="str">
        <f t="shared" ref="P3:P66" si="3">RIGHT(N3,8)</f>
        <v>59676909</v>
      </c>
      <c r="Q3" s="17" t="s">
        <v>904</v>
      </c>
      <c r="R3" s="16">
        <v>2</v>
      </c>
      <c r="S3" s="16" t="s">
        <v>846</v>
      </c>
      <c r="T3" s="16" t="s">
        <v>104</v>
      </c>
      <c r="U3" s="28">
        <f>VLOOKUP($L3,Tabla1[#All],4,FALSE)</f>
        <v>23.157923</v>
      </c>
      <c r="V3" s="28">
        <f>VLOOKUP($L3,Tabla1[#All],5,FALSE)</f>
        <v>-82.326390000000004</v>
      </c>
      <c r="W3" s="42" t="s">
        <v>1717</v>
      </c>
    </row>
    <row r="4" spans="2:23" ht="15.6" customHeight="1">
      <c r="B4" s="8">
        <v>2794</v>
      </c>
      <c r="C4" s="16" t="str">
        <f t="shared" si="0"/>
        <v>2794-3526</v>
      </c>
      <c r="D4" s="11">
        <v>24013526</v>
      </c>
      <c r="E4" s="8" t="str">
        <f t="shared" si="1"/>
        <v>2794 - 3526</v>
      </c>
      <c r="F4" s="12" t="s">
        <v>558</v>
      </c>
      <c r="G4" s="10">
        <v>20.7</v>
      </c>
      <c r="H4" s="8">
        <v>1</v>
      </c>
      <c r="I4" s="13">
        <v>1705.8</v>
      </c>
      <c r="J4" s="12" t="s">
        <v>50</v>
      </c>
      <c r="K4" s="8">
        <v>7101505202</v>
      </c>
      <c r="L4" s="8">
        <v>40981694</v>
      </c>
      <c r="M4" s="12" t="s">
        <v>474</v>
      </c>
      <c r="N4" s="8" t="s">
        <v>475</v>
      </c>
      <c r="O4" s="11" t="str">
        <f t="shared" si="2"/>
        <v>54961643</v>
      </c>
      <c r="P4" s="11" t="str">
        <f t="shared" si="3"/>
        <v>54961643</v>
      </c>
      <c r="Q4" s="12" t="s">
        <v>1019</v>
      </c>
      <c r="R4" s="8">
        <v>2</v>
      </c>
      <c r="S4" s="8" t="s">
        <v>995</v>
      </c>
      <c r="T4" s="8" t="s">
        <v>79</v>
      </c>
      <c r="U4" s="28">
        <f>VLOOKUP($L4,Tabla1[#All],4,FALSE)</f>
        <v>20.228899999999999</v>
      </c>
      <c r="V4" s="28">
        <f>VLOOKUP($L4,Tabla1[#All],5,FALSE)</f>
        <v>-76.003268000000006</v>
      </c>
      <c r="W4" s="43" t="s">
        <v>1717</v>
      </c>
    </row>
    <row r="5" spans="2:23" ht="15.6" customHeight="1">
      <c r="B5" s="8">
        <v>2864</v>
      </c>
      <c r="C5" s="16" t="str">
        <f t="shared" si="0"/>
        <v>2864-3638</v>
      </c>
      <c r="D5" s="8">
        <v>24013638</v>
      </c>
      <c r="E5" s="8" t="str">
        <f t="shared" si="1"/>
        <v>2864 - 3638</v>
      </c>
      <c r="F5" s="9" t="s">
        <v>70</v>
      </c>
      <c r="G5" s="10">
        <v>25</v>
      </c>
      <c r="H5" s="11">
        <v>1</v>
      </c>
      <c r="I5" s="13">
        <v>1932.6</v>
      </c>
      <c r="J5" s="12" t="s">
        <v>71</v>
      </c>
      <c r="K5" s="11">
        <v>71072105384</v>
      </c>
      <c r="L5" s="11">
        <v>92980571</v>
      </c>
      <c r="M5" s="12" t="s">
        <v>72</v>
      </c>
      <c r="N5" s="8" t="s">
        <v>73</v>
      </c>
      <c r="O5" s="11" t="str">
        <f t="shared" si="2"/>
        <v>59009596</v>
      </c>
      <c r="P5" s="11" t="str">
        <f t="shared" si="3"/>
        <v>53462071</v>
      </c>
      <c r="Q5" s="12" t="s">
        <v>962</v>
      </c>
      <c r="R5" s="8">
        <v>2</v>
      </c>
      <c r="S5" s="8" t="s">
        <v>919</v>
      </c>
      <c r="T5" s="8" t="s">
        <v>931</v>
      </c>
      <c r="U5" s="28">
        <f>VLOOKUP($L5,Tabla1[#All],4,FALSE)</f>
        <v>20.337520000000001</v>
      </c>
      <c r="V5" s="28">
        <f>VLOOKUP($L5,Tabla1[#All],5,FALSE)</f>
        <v>-77.136700000000005</v>
      </c>
      <c r="W5" s="43" t="s">
        <v>1717</v>
      </c>
    </row>
    <row r="6" spans="2:23" ht="15.6" customHeight="1">
      <c r="B6" s="8">
        <v>2794</v>
      </c>
      <c r="C6" s="16" t="str">
        <f t="shared" si="0"/>
        <v>2794-3427</v>
      </c>
      <c r="D6" s="11">
        <v>24013427</v>
      </c>
      <c r="E6" s="8" t="str">
        <f t="shared" si="1"/>
        <v>2794 - 3427</v>
      </c>
      <c r="F6" s="12" t="s">
        <v>281</v>
      </c>
      <c r="G6" s="10">
        <v>18.399999999999999</v>
      </c>
      <c r="H6" s="8">
        <v>1</v>
      </c>
      <c r="I6" s="13">
        <v>1426.5</v>
      </c>
      <c r="J6" s="12" t="s">
        <v>50</v>
      </c>
      <c r="K6" s="8">
        <v>7101505202</v>
      </c>
      <c r="L6" s="8">
        <v>1102782967</v>
      </c>
      <c r="M6" s="12" t="s">
        <v>282</v>
      </c>
      <c r="N6" s="8" t="s">
        <v>283</v>
      </c>
      <c r="O6" s="11" t="str">
        <f t="shared" si="2"/>
        <v>56628755</v>
      </c>
      <c r="P6" s="11" t="str">
        <f t="shared" si="3"/>
        <v>56628755</v>
      </c>
      <c r="Q6" s="12" t="s">
        <v>1016</v>
      </c>
      <c r="R6" s="8">
        <v>2</v>
      </c>
      <c r="S6" s="8" t="s">
        <v>997</v>
      </c>
      <c r="T6" s="8" t="s">
        <v>1012</v>
      </c>
      <c r="U6" s="28">
        <f>VLOOKUP($L6,Tabla1[#All],4,FALSE)</f>
        <v>20.126829000000001</v>
      </c>
      <c r="V6" s="28">
        <f>VLOOKUP($L6,Tabla1[#All],5,FALSE)</f>
        <v>-75.217786000000004</v>
      </c>
      <c r="W6" s="43" t="s">
        <v>1717</v>
      </c>
    </row>
    <row r="7" spans="2:23" ht="15.6" customHeight="1">
      <c r="B7" s="8">
        <v>2864</v>
      </c>
      <c r="C7" s="16" t="str">
        <f t="shared" si="0"/>
        <v>2864-3623</v>
      </c>
      <c r="D7" s="8">
        <v>24013623</v>
      </c>
      <c r="E7" s="8" t="str">
        <f t="shared" si="1"/>
        <v>2864 - 3623</v>
      </c>
      <c r="F7" s="9" t="s">
        <v>33</v>
      </c>
      <c r="G7" s="55">
        <v>19.899999999999999</v>
      </c>
      <c r="H7" s="11">
        <v>1</v>
      </c>
      <c r="I7" s="13">
        <v>1577.7</v>
      </c>
      <c r="J7" s="12" t="s">
        <v>43</v>
      </c>
      <c r="K7" s="11">
        <v>71072105384</v>
      </c>
      <c r="L7" s="11">
        <v>1113078583</v>
      </c>
      <c r="M7" s="12" t="s">
        <v>44</v>
      </c>
      <c r="N7" s="8" t="s">
        <v>45</v>
      </c>
      <c r="O7" s="11" t="str">
        <f t="shared" si="2"/>
        <v>55668559</v>
      </c>
      <c r="P7" s="11" t="str">
        <f t="shared" si="3"/>
        <v>55668559</v>
      </c>
      <c r="Q7" s="12" t="s">
        <v>857</v>
      </c>
      <c r="R7" s="8">
        <v>2</v>
      </c>
      <c r="S7" s="8" t="s">
        <v>853</v>
      </c>
      <c r="T7" s="8" t="s">
        <v>31</v>
      </c>
      <c r="U7" s="28">
        <f>VLOOKUP($L7,Tabla1[#All],4,FALSE)</f>
        <v>22.981887</v>
      </c>
      <c r="V7" s="28">
        <f>VLOOKUP($L7,Tabla1[#All],5,FALSE)</f>
        <v>-82.543105999999995</v>
      </c>
      <c r="W7" s="43" t="s">
        <v>1717</v>
      </c>
    </row>
    <row r="8" spans="2:23" ht="15.6" customHeight="1">
      <c r="B8" s="8">
        <v>2864</v>
      </c>
      <c r="C8" s="16" t="str">
        <f t="shared" si="0"/>
        <v>2864-3624</v>
      </c>
      <c r="D8" s="8">
        <v>24013624</v>
      </c>
      <c r="E8" s="8" t="str">
        <f t="shared" si="1"/>
        <v>2864 - 3624</v>
      </c>
      <c r="F8" s="9" t="s">
        <v>47</v>
      </c>
      <c r="G8" s="55">
        <v>19.7</v>
      </c>
      <c r="H8" s="11">
        <v>1</v>
      </c>
      <c r="I8" s="13">
        <v>670.5</v>
      </c>
      <c r="J8" s="12" t="s">
        <v>43</v>
      </c>
      <c r="K8" s="11">
        <v>71072105384</v>
      </c>
      <c r="L8" s="11">
        <v>1113078583</v>
      </c>
      <c r="M8" s="12" t="s">
        <v>44</v>
      </c>
      <c r="N8" s="8" t="s">
        <v>45</v>
      </c>
      <c r="O8" s="11" t="str">
        <f t="shared" si="2"/>
        <v>55668559</v>
      </c>
      <c r="P8" s="11" t="str">
        <f t="shared" si="3"/>
        <v>55668559</v>
      </c>
      <c r="Q8" s="12" t="s">
        <v>857</v>
      </c>
      <c r="R8" s="8">
        <v>2</v>
      </c>
      <c r="S8" s="8" t="s">
        <v>853</v>
      </c>
      <c r="T8" s="8" t="s">
        <v>31</v>
      </c>
      <c r="U8" s="28">
        <f>VLOOKUP($L8,Tabla1[#All],4,FALSE)</f>
        <v>22.981887</v>
      </c>
      <c r="V8" s="28">
        <f>VLOOKUP($L8,Tabla1[#All],5,FALSE)</f>
        <v>-82.543105999999995</v>
      </c>
      <c r="W8" s="43" t="s">
        <v>1717</v>
      </c>
    </row>
    <row r="9" spans="2:23" ht="15.6" customHeight="1">
      <c r="B9" s="8">
        <v>2864</v>
      </c>
      <c r="C9" s="16" t="str">
        <f t="shared" si="0"/>
        <v>2864-3625</v>
      </c>
      <c r="D9" s="8">
        <v>24013625</v>
      </c>
      <c r="E9" s="8" t="str">
        <f t="shared" si="1"/>
        <v>2864 - 3625</v>
      </c>
      <c r="F9" s="9" t="s">
        <v>48</v>
      </c>
      <c r="G9" s="55">
        <v>19.600000000000001</v>
      </c>
      <c r="H9" s="11">
        <v>1</v>
      </c>
      <c r="I9" s="13">
        <v>1577.7</v>
      </c>
      <c r="J9" s="12" t="s">
        <v>43</v>
      </c>
      <c r="K9" s="11">
        <v>71072105384</v>
      </c>
      <c r="L9" s="11">
        <v>1113078583</v>
      </c>
      <c r="M9" s="12" t="s">
        <v>44</v>
      </c>
      <c r="N9" s="8" t="s">
        <v>45</v>
      </c>
      <c r="O9" s="11" t="str">
        <f t="shared" si="2"/>
        <v>55668559</v>
      </c>
      <c r="P9" s="11" t="str">
        <f t="shared" si="3"/>
        <v>55668559</v>
      </c>
      <c r="Q9" s="12" t="s">
        <v>857</v>
      </c>
      <c r="R9" s="8">
        <v>2</v>
      </c>
      <c r="S9" s="8" t="s">
        <v>853</v>
      </c>
      <c r="T9" s="8" t="s">
        <v>31</v>
      </c>
      <c r="U9" s="28">
        <f>VLOOKUP($L9,Tabla1[#All],4,FALSE)</f>
        <v>22.981887</v>
      </c>
      <c r="V9" s="28">
        <f>VLOOKUP($L9,Tabla1[#All],5,FALSE)</f>
        <v>-82.543105999999995</v>
      </c>
      <c r="W9" s="43" t="s">
        <v>1717</v>
      </c>
    </row>
    <row r="10" spans="2:23" ht="15.6" customHeight="1">
      <c r="B10" s="8">
        <v>2794</v>
      </c>
      <c r="C10" s="16" t="str">
        <f t="shared" si="0"/>
        <v>2794-3532</v>
      </c>
      <c r="D10" s="11">
        <v>24013532</v>
      </c>
      <c r="E10" s="8" t="str">
        <f t="shared" si="1"/>
        <v>2794 - 3532</v>
      </c>
      <c r="F10" s="12" t="s">
        <v>547</v>
      </c>
      <c r="G10" s="10">
        <v>10.199999999999999</v>
      </c>
      <c r="H10" s="8">
        <v>1</v>
      </c>
      <c r="I10" s="13">
        <v>821.7</v>
      </c>
      <c r="J10" s="12" t="s">
        <v>50</v>
      </c>
      <c r="K10" s="8">
        <v>7101505202</v>
      </c>
      <c r="L10" s="8">
        <v>2010980975</v>
      </c>
      <c r="M10" s="12" t="s">
        <v>483</v>
      </c>
      <c r="N10" s="8" t="s">
        <v>484</v>
      </c>
      <c r="O10" s="11" t="str">
        <f t="shared" si="2"/>
        <v>58582813</v>
      </c>
      <c r="P10" s="11" t="str">
        <f t="shared" si="3"/>
        <v>58582813</v>
      </c>
      <c r="Q10" s="12" t="s">
        <v>956</v>
      </c>
      <c r="R10" s="8">
        <v>2</v>
      </c>
      <c r="S10" s="8" t="s">
        <v>925</v>
      </c>
      <c r="T10" s="8" t="s">
        <v>931</v>
      </c>
      <c r="U10" s="28">
        <f>VLOOKUP($L10,Tabla1[#All],4,FALSE)</f>
        <v>20.04909</v>
      </c>
      <c r="V10" s="28">
        <f>VLOOKUP($L10,Tabla1[#All],5,FALSE)</f>
        <v>-77.583377999999996</v>
      </c>
      <c r="W10" s="43" t="s">
        <v>1717</v>
      </c>
    </row>
    <row r="11" spans="2:23" ht="15.6" customHeight="1">
      <c r="B11" s="8">
        <v>2794</v>
      </c>
      <c r="C11" s="16" t="str">
        <f t="shared" si="0"/>
        <v>2794-3533</v>
      </c>
      <c r="D11" s="11">
        <v>24013533</v>
      </c>
      <c r="E11" s="8" t="str">
        <f t="shared" si="1"/>
        <v>2794 - 3533</v>
      </c>
      <c r="F11" s="12" t="s">
        <v>543</v>
      </c>
      <c r="G11" s="10">
        <v>22.8</v>
      </c>
      <c r="H11" s="8">
        <v>1</v>
      </c>
      <c r="I11" s="13">
        <v>1857</v>
      </c>
      <c r="J11" s="12" t="s">
        <v>50</v>
      </c>
      <c r="K11" s="8">
        <v>7101505202</v>
      </c>
      <c r="L11" s="8">
        <v>2010980975</v>
      </c>
      <c r="M11" s="12" t="s">
        <v>483</v>
      </c>
      <c r="N11" s="8" t="s">
        <v>484</v>
      </c>
      <c r="O11" s="11" t="str">
        <f t="shared" si="2"/>
        <v>58582813</v>
      </c>
      <c r="P11" s="11" t="str">
        <f t="shared" si="3"/>
        <v>58582813</v>
      </c>
      <c r="Q11" s="12" t="s">
        <v>956</v>
      </c>
      <c r="R11" s="8">
        <v>2</v>
      </c>
      <c r="S11" s="8" t="s">
        <v>925</v>
      </c>
      <c r="T11" s="8" t="s">
        <v>931</v>
      </c>
      <c r="U11" s="28">
        <f>VLOOKUP($L11,Tabla1[#All],4,FALSE)</f>
        <v>20.04909</v>
      </c>
      <c r="V11" s="28">
        <f>VLOOKUP($L11,Tabla1[#All],5,FALSE)</f>
        <v>-77.583377999999996</v>
      </c>
      <c r="W11" s="43" t="s">
        <v>1717</v>
      </c>
    </row>
    <row r="12" spans="2:23" ht="15.6" customHeight="1">
      <c r="B12" s="8">
        <v>2864</v>
      </c>
      <c r="C12" s="16" t="str">
        <f t="shared" si="0"/>
        <v>2864-3606</v>
      </c>
      <c r="D12" s="8">
        <v>24013606</v>
      </c>
      <c r="E12" s="8" t="str">
        <f t="shared" si="1"/>
        <v>2864 - 3606</v>
      </c>
      <c r="F12" s="9" t="s">
        <v>33</v>
      </c>
      <c r="G12" s="33">
        <v>25.88</v>
      </c>
      <c r="H12" s="11">
        <v>1</v>
      </c>
      <c r="I12" s="13">
        <v>2083.8000000000002</v>
      </c>
      <c r="J12" s="12" t="s">
        <v>100</v>
      </c>
      <c r="K12" s="11">
        <v>65082578945</v>
      </c>
      <c r="L12" s="11">
        <v>2031966415</v>
      </c>
      <c r="M12" s="12" t="s">
        <v>101</v>
      </c>
      <c r="N12" s="8" t="s">
        <v>102</v>
      </c>
      <c r="O12" s="11" t="str">
        <f t="shared" si="2"/>
        <v>54827459</v>
      </c>
      <c r="P12" s="11" t="str">
        <f t="shared" si="3"/>
        <v>54827459</v>
      </c>
      <c r="Q12" s="12" t="s">
        <v>871</v>
      </c>
      <c r="R12" s="8">
        <v>2</v>
      </c>
      <c r="S12" s="8" t="s">
        <v>847</v>
      </c>
      <c r="T12" s="8" t="s">
        <v>104</v>
      </c>
      <c r="U12" s="28">
        <f>VLOOKUP($L12,Tabla1[#All],4,FALSE)</f>
        <v>23.065141000000001</v>
      </c>
      <c r="V12" s="28">
        <f>VLOOKUP($L12,Tabla1[#All],5,FALSE)</f>
        <v>-82.364304000000004</v>
      </c>
      <c r="W12" s="43" t="s">
        <v>1717</v>
      </c>
    </row>
    <row r="13" spans="2:23" ht="15.6" customHeight="1">
      <c r="B13" s="8">
        <v>2783</v>
      </c>
      <c r="C13" s="16" t="str">
        <f t="shared" si="0"/>
        <v>2783-3352</v>
      </c>
      <c r="D13" s="8">
        <v>24013352</v>
      </c>
      <c r="E13" s="8" t="str">
        <f t="shared" si="1"/>
        <v>2783 - 3352</v>
      </c>
      <c r="F13" s="12" t="s">
        <v>688</v>
      </c>
      <c r="G13" s="33">
        <v>30.4</v>
      </c>
      <c r="H13" s="8">
        <v>1</v>
      </c>
      <c r="I13" s="13">
        <v>2386.1999999999998</v>
      </c>
      <c r="J13" s="12" t="s">
        <v>50</v>
      </c>
      <c r="K13" s="8">
        <v>7101505202</v>
      </c>
      <c r="L13" s="8">
        <v>3040168170</v>
      </c>
      <c r="M13" s="12" t="s">
        <v>689</v>
      </c>
      <c r="N13" s="8" t="s">
        <v>690</v>
      </c>
      <c r="O13" s="11" t="str">
        <f t="shared" si="2"/>
        <v>58472617</v>
      </c>
      <c r="P13" s="11" t="str">
        <f t="shared" si="3"/>
        <v>58472617</v>
      </c>
      <c r="Q13" s="12" t="s">
        <v>896</v>
      </c>
      <c r="R13" s="8">
        <v>2</v>
      </c>
      <c r="S13" s="8" t="s">
        <v>837</v>
      </c>
      <c r="T13" s="8" t="s">
        <v>104</v>
      </c>
      <c r="U13" s="28">
        <f>VLOOKUP($L13,Tabla1[#All],4,FALSE)</f>
        <v>23.115801000000001</v>
      </c>
      <c r="V13" s="28">
        <f>VLOOKUP($L13,Tabla1[#All],5,FALSE)</f>
        <v>-82.415150999999994</v>
      </c>
      <c r="W13" s="43" t="s">
        <v>1717</v>
      </c>
    </row>
    <row r="14" spans="2:23" ht="15.6" customHeight="1">
      <c r="B14" s="8">
        <v>2794</v>
      </c>
      <c r="C14" s="16" t="str">
        <f t="shared" si="0"/>
        <v>2794-3492</v>
      </c>
      <c r="D14" s="11">
        <v>24013492</v>
      </c>
      <c r="E14" s="8" t="str">
        <f t="shared" si="1"/>
        <v>2794 - 3492</v>
      </c>
      <c r="F14" s="12" t="s">
        <v>410</v>
      </c>
      <c r="G14" s="10">
        <v>18.8</v>
      </c>
      <c r="H14" s="8">
        <v>1</v>
      </c>
      <c r="I14" s="13">
        <v>1502.1</v>
      </c>
      <c r="J14" s="12" t="s">
        <v>50</v>
      </c>
      <c r="K14" s="8">
        <v>7101505202</v>
      </c>
      <c r="L14" s="8">
        <v>3081380561</v>
      </c>
      <c r="M14" s="12" t="s">
        <v>411</v>
      </c>
      <c r="N14" s="8" t="s">
        <v>412</v>
      </c>
      <c r="O14" s="11" t="str">
        <f t="shared" si="2"/>
        <v>50491424</v>
      </c>
      <c r="P14" s="11" t="str">
        <f t="shared" si="3"/>
        <v>50491424</v>
      </c>
      <c r="Q14" s="12" t="s">
        <v>954</v>
      </c>
      <c r="R14" s="8">
        <v>2</v>
      </c>
      <c r="S14" s="8" t="s">
        <v>919</v>
      </c>
      <c r="T14" s="8" t="s">
        <v>931</v>
      </c>
      <c r="U14" s="28">
        <f>VLOOKUP($L14,Tabla1[#All],4,FALSE)</f>
        <v>20.338463000000001</v>
      </c>
      <c r="V14" s="28">
        <f>VLOOKUP($L14,Tabla1[#All],5,FALSE)</f>
        <v>-77.112891000000005</v>
      </c>
      <c r="W14" s="43" t="s">
        <v>1717</v>
      </c>
    </row>
    <row r="15" spans="2:23" ht="15.6" customHeight="1">
      <c r="B15" s="8">
        <v>2794</v>
      </c>
      <c r="C15" s="16" t="str">
        <f t="shared" si="0"/>
        <v>2794-3470</v>
      </c>
      <c r="D15" s="11">
        <v>24013470</v>
      </c>
      <c r="E15" s="8" t="str">
        <f t="shared" si="1"/>
        <v>2794 - 3470</v>
      </c>
      <c r="F15" s="12" t="s">
        <v>369</v>
      </c>
      <c r="G15" s="46">
        <v>15.1</v>
      </c>
      <c r="H15" s="8">
        <v>1</v>
      </c>
      <c r="I15" s="13">
        <v>295</v>
      </c>
      <c r="J15" s="12" t="s">
        <v>50</v>
      </c>
      <c r="K15" s="8">
        <v>7101505202</v>
      </c>
      <c r="L15" s="8">
        <v>4011168972</v>
      </c>
      <c r="M15" s="12" t="s">
        <v>370</v>
      </c>
      <c r="N15" s="8" t="s">
        <v>371</v>
      </c>
      <c r="O15" s="11" t="str">
        <f t="shared" si="2"/>
        <v>54445455</v>
      </c>
      <c r="P15" s="11" t="str">
        <f t="shared" si="3"/>
        <v>54445455</v>
      </c>
      <c r="Q15" s="12" t="s">
        <v>1094</v>
      </c>
      <c r="R15" s="8">
        <v>2</v>
      </c>
      <c r="S15" s="8" t="s">
        <v>1084</v>
      </c>
      <c r="T15" s="8" t="s">
        <v>185</v>
      </c>
      <c r="U15" s="28">
        <f>VLOOKUP($L15,Tabla1[#All],4,FALSE)</f>
        <v>23.030169999999998</v>
      </c>
      <c r="V15" s="28">
        <f>VLOOKUP($L15,Tabla1[#All],5,FALSE)</f>
        <v>-81.524449000000004</v>
      </c>
      <c r="W15" s="43" t="s">
        <v>1717</v>
      </c>
    </row>
    <row r="16" spans="2:23" ht="15.6" customHeight="1">
      <c r="B16" s="8">
        <v>2794</v>
      </c>
      <c r="C16" s="16" t="str">
        <f t="shared" si="0"/>
        <v>2794-3471</v>
      </c>
      <c r="D16" s="11">
        <v>24013471</v>
      </c>
      <c r="E16" s="8" t="str">
        <f t="shared" si="1"/>
        <v>2794 - 3471</v>
      </c>
      <c r="F16" s="12" t="s">
        <v>372</v>
      </c>
      <c r="G16" s="46">
        <v>8.3000000000000007</v>
      </c>
      <c r="H16" s="8">
        <v>1</v>
      </c>
      <c r="I16" s="13">
        <v>295</v>
      </c>
      <c r="J16" s="12" t="s">
        <v>50</v>
      </c>
      <c r="K16" s="8">
        <v>7101505202</v>
      </c>
      <c r="L16" s="8">
        <v>4011168972</v>
      </c>
      <c r="M16" s="12" t="s">
        <v>370</v>
      </c>
      <c r="N16" s="8" t="s">
        <v>371</v>
      </c>
      <c r="O16" s="11" t="str">
        <f t="shared" si="2"/>
        <v>54445455</v>
      </c>
      <c r="P16" s="11" t="str">
        <f t="shared" si="3"/>
        <v>54445455</v>
      </c>
      <c r="Q16" s="12" t="s">
        <v>1094</v>
      </c>
      <c r="R16" s="8">
        <v>2</v>
      </c>
      <c r="S16" s="8" t="s">
        <v>1084</v>
      </c>
      <c r="T16" s="8" t="s">
        <v>185</v>
      </c>
      <c r="U16" s="28">
        <f>VLOOKUP($L16,Tabla1[#All],4,FALSE)</f>
        <v>23.030169999999998</v>
      </c>
      <c r="V16" s="28">
        <f>VLOOKUP($L16,Tabla1[#All],5,FALSE)</f>
        <v>-81.524449000000004</v>
      </c>
      <c r="W16" s="43" t="s">
        <v>1717</v>
      </c>
    </row>
    <row r="17" spans="2:23" ht="15.6" customHeight="1">
      <c r="B17" s="8">
        <v>2783</v>
      </c>
      <c r="C17" s="16" t="str">
        <f t="shared" si="0"/>
        <v>2783-3410</v>
      </c>
      <c r="D17" s="8">
        <v>24013410</v>
      </c>
      <c r="E17" s="8" t="str">
        <f t="shared" si="1"/>
        <v>2783 - 3410</v>
      </c>
      <c r="F17" s="12" t="s">
        <v>794</v>
      </c>
      <c r="G17" s="45">
        <v>18.5</v>
      </c>
      <c r="H17" s="8">
        <v>1</v>
      </c>
      <c r="I17" s="62">
        <v>2159.4</v>
      </c>
      <c r="J17" s="12" t="s">
        <v>795</v>
      </c>
      <c r="K17" s="8">
        <v>65082578945</v>
      </c>
      <c r="L17" s="8">
        <v>4092068896</v>
      </c>
      <c r="M17" s="12" t="s">
        <v>796</v>
      </c>
      <c r="N17" s="8" t="s">
        <v>797</v>
      </c>
      <c r="O17" s="11" t="str">
        <f t="shared" si="2"/>
        <v>55785768</v>
      </c>
      <c r="P17" s="11" t="str">
        <f t="shared" si="3"/>
        <v>55785768</v>
      </c>
      <c r="Q17" s="12" t="s">
        <v>1101</v>
      </c>
      <c r="R17" s="8">
        <v>2</v>
      </c>
      <c r="S17" s="8" t="s">
        <v>1084</v>
      </c>
      <c r="T17" s="8" t="s">
        <v>185</v>
      </c>
      <c r="U17" s="28">
        <f>VLOOKUP($L17,Tabla1[#All],4,FALSE)</f>
        <v>23.034634</v>
      </c>
      <c r="V17" s="28">
        <f>VLOOKUP($L17,Tabla1[#All],5,FALSE)</f>
        <v>-81.567992000000004</v>
      </c>
      <c r="W17" s="43" t="s">
        <v>1715</v>
      </c>
    </row>
    <row r="18" spans="2:23" ht="15.6" customHeight="1">
      <c r="B18" s="8">
        <v>2783</v>
      </c>
      <c r="C18" s="16" t="str">
        <f t="shared" si="0"/>
        <v>2783-3411</v>
      </c>
      <c r="D18" s="8">
        <v>24013411</v>
      </c>
      <c r="E18" s="8" t="str">
        <f t="shared" si="1"/>
        <v>2783 - 3411</v>
      </c>
      <c r="F18" s="12" t="s">
        <v>794</v>
      </c>
      <c r="G18" s="45">
        <v>27.04</v>
      </c>
      <c r="H18" s="8">
        <v>1</v>
      </c>
      <c r="I18" s="62">
        <v>2159.4</v>
      </c>
      <c r="J18" s="12" t="s">
        <v>795</v>
      </c>
      <c r="K18" s="8">
        <v>65082578945</v>
      </c>
      <c r="L18" s="8">
        <v>4092068896</v>
      </c>
      <c r="M18" s="12" t="s">
        <v>796</v>
      </c>
      <c r="N18" s="8" t="s">
        <v>797</v>
      </c>
      <c r="O18" s="11" t="str">
        <f t="shared" si="2"/>
        <v>55785768</v>
      </c>
      <c r="P18" s="11" t="str">
        <f t="shared" si="3"/>
        <v>55785768</v>
      </c>
      <c r="Q18" s="12" t="s">
        <v>1101</v>
      </c>
      <c r="R18" s="8">
        <v>2</v>
      </c>
      <c r="S18" s="8" t="s">
        <v>1084</v>
      </c>
      <c r="T18" s="8" t="s">
        <v>185</v>
      </c>
      <c r="U18" s="28">
        <f>VLOOKUP($L18,Tabla1[#All],4,FALSE)</f>
        <v>23.034634</v>
      </c>
      <c r="V18" s="28">
        <f>VLOOKUP($L18,Tabla1[#All],5,FALSE)</f>
        <v>-81.567992000000004</v>
      </c>
      <c r="W18" s="43" t="s">
        <v>1715</v>
      </c>
    </row>
    <row r="19" spans="2:23" ht="15.6" customHeight="1">
      <c r="B19" s="8">
        <v>2783</v>
      </c>
      <c r="C19" s="16" t="str">
        <f t="shared" si="0"/>
        <v>2783-3381</v>
      </c>
      <c r="D19" s="8">
        <v>24013381</v>
      </c>
      <c r="E19" s="8" t="str">
        <f t="shared" si="1"/>
        <v>2783 - 3381</v>
      </c>
      <c r="F19" s="12" t="s">
        <v>765</v>
      </c>
      <c r="G19" s="46">
        <v>0.82</v>
      </c>
      <c r="H19" s="8">
        <v>1</v>
      </c>
      <c r="I19" s="13">
        <v>295</v>
      </c>
      <c r="J19" s="12" t="s">
        <v>50</v>
      </c>
      <c r="K19" s="8">
        <v>7101505202</v>
      </c>
      <c r="L19" s="8">
        <v>5052868970</v>
      </c>
      <c r="M19" s="12" t="s">
        <v>444</v>
      </c>
      <c r="N19" s="8" t="s">
        <v>445</v>
      </c>
      <c r="O19" s="11" t="str">
        <f t="shared" si="2"/>
        <v>56979883</v>
      </c>
      <c r="P19" s="11" t="str">
        <f t="shared" si="3"/>
        <v>56979883</v>
      </c>
      <c r="Q19" s="12" t="s">
        <v>1091</v>
      </c>
      <c r="R19" s="8">
        <v>2</v>
      </c>
      <c r="S19" s="8" t="s">
        <v>1084</v>
      </c>
      <c r="T19" s="8" t="s">
        <v>185</v>
      </c>
      <c r="U19" s="28">
        <f>VLOOKUP($L19,Tabla1[#All],4,FALSE)</f>
        <v>23.035536</v>
      </c>
      <c r="V19" s="28">
        <f>VLOOKUP($L19,Tabla1[#All],5,FALSE)</f>
        <v>-81.525245999999996</v>
      </c>
      <c r="W19" s="43" t="s">
        <v>1717</v>
      </c>
    </row>
    <row r="20" spans="2:23" ht="15.6" customHeight="1">
      <c r="B20" s="8">
        <v>2794</v>
      </c>
      <c r="C20" s="16" t="str">
        <f t="shared" si="0"/>
        <v>2794-3509</v>
      </c>
      <c r="D20" s="11">
        <v>24013509</v>
      </c>
      <c r="E20" s="8" t="str">
        <f t="shared" si="1"/>
        <v>2794 - 3509</v>
      </c>
      <c r="F20" s="12" t="s">
        <v>443</v>
      </c>
      <c r="G20" s="46">
        <v>5.6</v>
      </c>
      <c r="H20" s="8">
        <v>1</v>
      </c>
      <c r="I20" s="13">
        <v>519.29999999999995</v>
      </c>
      <c r="J20" s="12" t="s">
        <v>50</v>
      </c>
      <c r="K20" s="8">
        <v>7101505202</v>
      </c>
      <c r="L20" s="8">
        <v>5052868970</v>
      </c>
      <c r="M20" s="12" t="s">
        <v>444</v>
      </c>
      <c r="N20" s="8" t="s">
        <v>445</v>
      </c>
      <c r="O20" s="11" t="str">
        <f t="shared" si="2"/>
        <v>56979883</v>
      </c>
      <c r="P20" s="11" t="str">
        <f t="shared" si="3"/>
        <v>56979883</v>
      </c>
      <c r="Q20" s="12" t="s">
        <v>1091</v>
      </c>
      <c r="R20" s="8">
        <v>2</v>
      </c>
      <c r="S20" s="8" t="s">
        <v>1084</v>
      </c>
      <c r="T20" s="8" t="s">
        <v>185</v>
      </c>
      <c r="U20" s="28">
        <f>VLOOKUP($L20,Tabla1[#All],4,FALSE)</f>
        <v>23.035536</v>
      </c>
      <c r="V20" s="28">
        <f>VLOOKUP($L20,Tabla1[#All],5,FALSE)</f>
        <v>-81.525245999999996</v>
      </c>
      <c r="W20" s="43" t="s">
        <v>1717</v>
      </c>
    </row>
    <row r="21" spans="2:23" ht="15.6" customHeight="1">
      <c r="B21" s="8">
        <v>2794</v>
      </c>
      <c r="C21" s="16" t="str">
        <f t="shared" si="0"/>
        <v>2794-3510</v>
      </c>
      <c r="D21" s="11">
        <v>24013510</v>
      </c>
      <c r="E21" s="8" t="str">
        <f t="shared" si="1"/>
        <v>2794 - 3510</v>
      </c>
      <c r="F21" s="12" t="s">
        <v>443</v>
      </c>
      <c r="G21" s="46">
        <v>7.1</v>
      </c>
      <c r="H21" s="8">
        <v>1</v>
      </c>
      <c r="I21" s="13">
        <v>594.9</v>
      </c>
      <c r="J21" s="12" t="s">
        <v>50</v>
      </c>
      <c r="K21" s="8">
        <v>7101505202</v>
      </c>
      <c r="L21" s="8">
        <v>5052868970</v>
      </c>
      <c r="M21" s="12" t="s">
        <v>444</v>
      </c>
      <c r="N21" s="8" t="s">
        <v>445</v>
      </c>
      <c r="O21" s="11" t="str">
        <f t="shared" si="2"/>
        <v>56979883</v>
      </c>
      <c r="P21" s="11" t="str">
        <f t="shared" si="3"/>
        <v>56979883</v>
      </c>
      <c r="Q21" s="12" t="s">
        <v>1091</v>
      </c>
      <c r="R21" s="8">
        <v>2</v>
      </c>
      <c r="S21" s="8" t="s">
        <v>1084</v>
      </c>
      <c r="T21" s="8" t="s">
        <v>185</v>
      </c>
      <c r="U21" s="28">
        <f>VLOOKUP($L21,Tabla1[#All],4,FALSE)</f>
        <v>23.035536</v>
      </c>
      <c r="V21" s="28">
        <f>VLOOKUP($L21,Tabla1[#All],5,FALSE)</f>
        <v>-81.525245999999996</v>
      </c>
      <c r="W21" s="43" t="s">
        <v>1717</v>
      </c>
    </row>
    <row r="22" spans="2:23" ht="15.6" customHeight="1">
      <c r="B22" s="8">
        <v>2794</v>
      </c>
      <c r="C22" s="16" t="str">
        <f t="shared" si="0"/>
        <v>2794-3511</v>
      </c>
      <c r="D22" s="11">
        <v>24013511</v>
      </c>
      <c r="E22" s="8" t="str">
        <f t="shared" si="1"/>
        <v>2794 - 3511</v>
      </c>
      <c r="F22" s="12" t="s">
        <v>443</v>
      </c>
      <c r="G22" s="46">
        <v>10.4</v>
      </c>
      <c r="H22" s="8">
        <v>1</v>
      </c>
      <c r="I22" s="13">
        <v>821.7</v>
      </c>
      <c r="J22" s="12" t="s">
        <v>50</v>
      </c>
      <c r="K22" s="8">
        <v>7101505202</v>
      </c>
      <c r="L22" s="8">
        <v>5052868970</v>
      </c>
      <c r="M22" s="12" t="s">
        <v>444</v>
      </c>
      <c r="N22" s="8" t="s">
        <v>445</v>
      </c>
      <c r="O22" s="11" t="str">
        <f t="shared" si="2"/>
        <v>56979883</v>
      </c>
      <c r="P22" s="11" t="str">
        <f t="shared" si="3"/>
        <v>56979883</v>
      </c>
      <c r="Q22" s="12" t="s">
        <v>1091</v>
      </c>
      <c r="R22" s="8">
        <v>2</v>
      </c>
      <c r="S22" s="8" t="s">
        <v>1084</v>
      </c>
      <c r="T22" s="8" t="s">
        <v>185</v>
      </c>
      <c r="U22" s="28">
        <f>VLOOKUP($L22,Tabla1[#All],4,FALSE)</f>
        <v>23.035536</v>
      </c>
      <c r="V22" s="28">
        <f>VLOOKUP($L22,Tabla1[#All],5,FALSE)</f>
        <v>-81.525245999999996</v>
      </c>
      <c r="W22" s="43" t="s">
        <v>1717</v>
      </c>
    </row>
    <row r="23" spans="2:23" ht="15.6" customHeight="1">
      <c r="B23" s="8">
        <v>2794</v>
      </c>
      <c r="C23" s="16" t="str">
        <f t="shared" si="0"/>
        <v>2794-3512</v>
      </c>
      <c r="D23" s="11">
        <v>24013512</v>
      </c>
      <c r="E23" s="8" t="str">
        <f t="shared" si="1"/>
        <v>2794 - 3512</v>
      </c>
      <c r="F23" s="12" t="s">
        <v>443</v>
      </c>
      <c r="G23" s="46">
        <v>9.1</v>
      </c>
      <c r="H23" s="8">
        <v>1</v>
      </c>
      <c r="I23" s="13">
        <v>746.1</v>
      </c>
      <c r="J23" s="12" t="s">
        <v>50</v>
      </c>
      <c r="K23" s="8">
        <v>7101505202</v>
      </c>
      <c r="L23" s="8">
        <v>5052868970</v>
      </c>
      <c r="M23" s="12" t="s">
        <v>444</v>
      </c>
      <c r="N23" s="8" t="s">
        <v>445</v>
      </c>
      <c r="O23" s="11" t="str">
        <f t="shared" si="2"/>
        <v>56979883</v>
      </c>
      <c r="P23" s="11" t="str">
        <f t="shared" si="3"/>
        <v>56979883</v>
      </c>
      <c r="Q23" s="12" t="s">
        <v>1091</v>
      </c>
      <c r="R23" s="8">
        <v>2</v>
      </c>
      <c r="S23" s="8" t="s">
        <v>1084</v>
      </c>
      <c r="T23" s="8" t="s">
        <v>185</v>
      </c>
      <c r="U23" s="28">
        <f>VLOOKUP($L23,Tabla1[#All],4,FALSE)</f>
        <v>23.035536</v>
      </c>
      <c r="V23" s="28">
        <f>VLOOKUP($L23,Tabla1[#All],5,FALSE)</f>
        <v>-81.525245999999996</v>
      </c>
      <c r="W23" s="43" t="s">
        <v>1717</v>
      </c>
    </row>
    <row r="24" spans="2:23" ht="15.6" customHeight="1">
      <c r="B24" s="8">
        <v>2783</v>
      </c>
      <c r="C24" s="16" t="str">
        <f t="shared" si="0"/>
        <v>2783-3415</v>
      </c>
      <c r="D24" s="8">
        <v>24013415</v>
      </c>
      <c r="E24" s="8" t="str">
        <f t="shared" si="1"/>
        <v>2783 - 3415</v>
      </c>
      <c r="F24" s="12" t="s">
        <v>790</v>
      </c>
      <c r="G24" s="45">
        <v>3.5</v>
      </c>
      <c r="H24" s="8">
        <v>1</v>
      </c>
      <c r="I24" s="62">
        <v>295</v>
      </c>
      <c r="J24" s="12" t="s">
        <v>807</v>
      </c>
      <c r="K24" s="8">
        <v>7011058676</v>
      </c>
      <c r="L24" s="8">
        <v>7011058676</v>
      </c>
      <c r="M24" s="12" t="s">
        <v>1195</v>
      </c>
      <c r="N24" s="8" t="s">
        <v>808</v>
      </c>
      <c r="O24" s="11" t="str">
        <f t="shared" si="2"/>
        <v>58924674</v>
      </c>
      <c r="P24" s="11" t="str">
        <f t="shared" si="3"/>
        <v>58924674</v>
      </c>
      <c r="Q24" s="12" t="s">
        <v>1096</v>
      </c>
      <c r="R24" s="8">
        <v>2</v>
      </c>
      <c r="S24" s="8" t="s">
        <v>1085</v>
      </c>
      <c r="T24" s="8" t="s">
        <v>185</v>
      </c>
      <c r="U24" s="28">
        <f>VLOOKUP($L24,Tabla1[#All],4,FALSE)</f>
        <v>23.053798</v>
      </c>
      <c r="V24" s="28">
        <f>VLOOKUP($L24,Tabla1[#All],5,FALSE)</f>
        <v>-81.323042000000001</v>
      </c>
      <c r="W24" s="43" t="s">
        <v>1715</v>
      </c>
    </row>
    <row r="25" spans="2:23" ht="15.6" customHeight="1">
      <c r="B25" s="8">
        <v>2864</v>
      </c>
      <c r="C25" s="16" t="str">
        <f t="shared" si="0"/>
        <v>2864-3626</v>
      </c>
      <c r="D25" s="8">
        <v>24013626</v>
      </c>
      <c r="E25" s="8" t="str">
        <f t="shared" si="1"/>
        <v>2864 - 3626</v>
      </c>
      <c r="F25" s="9" t="s">
        <v>26</v>
      </c>
      <c r="G25" s="55">
        <v>19.399999999999999</v>
      </c>
      <c r="H25" s="11">
        <v>1</v>
      </c>
      <c r="I25" s="13">
        <v>1502.1</v>
      </c>
      <c r="J25" s="12" t="s">
        <v>27</v>
      </c>
      <c r="K25" s="11">
        <v>65082578945</v>
      </c>
      <c r="L25" s="11">
        <v>7021166717</v>
      </c>
      <c r="M25" s="12" t="s">
        <v>28</v>
      </c>
      <c r="N25" s="8" t="s">
        <v>29</v>
      </c>
      <c r="O25" s="11" t="str">
        <f t="shared" si="2"/>
        <v>56272355</v>
      </c>
      <c r="P25" s="11" t="str">
        <f t="shared" si="3"/>
        <v>56970830</v>
      </c>
      <c r="Q25" s="12" t="s">
        <v>858</v>
      </c>
      <c r="R25" s="8">
        <v>2</v>
      </c>
      <c r="S25" s="8" t="s">
        <v>850</v>
      </c>
      <c r="T25" s="8" t="s">
        <v>31</v>
      </c>
      <c r="U25" s="28">
        <f>VLOOKUP($L25,Tabla1[#All],4,FALSE)</f>
        <v>22.829782000000002</v>
      </c>
      <c r="V25" s="28">
        <f>VLOOKUP($L25,Tabla1[#All],5,FALSE)</f>
        <v>-82.744510000000005</v>
      </c>
      <c r="W25" s="43" t="s">
        <v>1717</v>
      </c>
    </row>
    <row r="26" spans="2:23" ht="15.6" customHeight="1">
      <c r="B26" s="8">
        <v>2864</v>
      </c>
      <c r="C26" s="16" t="str">
        <f t="shared" si="0"/>
        <v>2864-3627</v>
      </c>
      <c r="D26" s="8">
        <v>24013627</v>
      </c>
      <c r="E26" s="8" t="str">
        <f t="shared" si="1"/>
        <v>2864 - 3627</v>
      </c>
      <c r="F26" s="9" t="s">
        <v>32</v>
      </c>
      <c r="G26" s="55">
        <v>19.7</v>
      </c>
      <c r="H26" s="11">
        <v>1</v>
      </c>
      <c r="I26" s="13">
        <v>1577.7</v>
      </c>
      <c r="J26" s="12" t="s">
        <v>27</v>
      </c>
      <c r="K26" s="11">
        <v>65082578945</v>
      </c>
      <c r="L26" s="11">
        <v>7021166717</v>
      </c>
      <c r="M26" s="12" t="s">
        <v>28</v>
      </c>
      <c r="N26" s="8" t="s">
        <v>29</v>
      </c>
      <c r="O26" s="11" t="str">
        <f t="shared" si="2"/>
        <v>56272355</v>
      </c>
      <c r="P26" s="11" t="str">
        <f t="shared" si="3"/>
        <v>56970830</v>
      </c>
      <c r="Q26" s="12" t="s">
        <v>858</v>
      </c>
      <c r="R26" s="8">
        <v>2</v>
      </c>
      <c r="S26" s="8" t="s">
        <v>850</v>
      </c>
      <c r="T26" s="8" t="s">
        <v>31</v>
      </c>
      <c r="U26" s="28">
        <f>VLOOKUP($L26,Tabla1[#All],4,FALSE)</f>
        <v>22.829782000000002</v>
      </c>
      <c r="V26" s="28">
        <f>VLOOKUP($L26,Tabla1[#All],5,FALSE)</f>
        <v>-82.744510000000005</v>
      </c>
      <c r="W26" s="43" t="s">
        <v>1717</v>
      </c>
    </row>
    <row r="27" spans="2:23" ht="15.6" customHeight="1">
      <c r="B27" s="8">
        <v>2783</v>
      </c>
      <c r="C27" s="16" t="str">
        <f t="shared" si="0"/>
        <v>2783-3419</v>
      </c>
      <c r="D27" s="8">
        <v>24013419</v>
      </c>
      <c r="E27" s="8" t="str">
        <f t="shared" si="1"/>
        <v>2783 - 3419</v>
      </c>
      <c r="F27" s="12" t="s">
        <v>819</v>
      </c>
      <c r="G27" s="10">
        <v>30.2</v>
      </c>
      <c r="H27" s="8">
        <v>1</v>
      </c>
      <c r="I27" s="13">
        <v>295</v>
      </c>
      <c r="J27" s="12" t="s">
        <v>813</v>
      </c>
      <c r="K27" s="8">
        <v>76032786969</v>
      </c>
      <c r="L27" s="8">
        <v>9102960216</v>
      </c>
      <c r="M27" s="12" t="s">
        <v>820</v>
      </c>
      <c r="N27" s="8" t="s">
        <v>821</v>
      </c>
      <c r="O27" s="11" t="str">
        <f t="shared" si="2"/>
        <v>56488691</v>
      </c>
      <c r="P27" s="11" t="str">
        <f t="shared" si="3"/>
        <v>56488692</v>
      </c>
      <c r="Q27" s="12" t="s">
        <v>1062</v>
      </c>
      <c r="R27" s="8">
        <v>2</v>
      </c>
      <c r="S27" s="8" t="s">
        <v>1045</v>
      </c>
      <c r="T27" s="8" t="s">
        <v>211</v>
      </c>
      <c r="U27" s="28">
        <f>VLOOKUP($L27,Tabla1[#All],4,FALSE)</f>
        <v>22.879549999999998</v>
      </c>
      <c r="V27" s="28">
        <f>VLOOKUP($L27,Tabla1[#All],5,FALSE)</f>
        <v>-80.390933000000004</v>
      </c>
      <c r="W27" s="43" t="s">
        <v>1718</v>
      </c>
    </row>
    <row r="28" spans="2:23" ht="15.6" customHeight="1">
      <c r="B28" s="8">
        <v>2794</v>
      </c>
      <c r="C28" s="16" t="str">
        <f t="shared" si="0"/>
        <v>2794-3450</v>
      </c>
      <c r="D28" s="11">
        <v>24013450</v>
      </c>
      <c r="E28" s="8" t="str">
        <f t="shared" si="1"/>
        <v>2794 - 3450</v>
      </c>
      <c r="F28" s="12" t="s">
        <v>587</v>
      </c>
      <c r="G28" s="55">
        <v>12.9</v>
      </c>
      <c r="H28" s="8">
        <v>1</v>
      </c>
      <c r="I28" s="13">
        <v>1048.5</v>
      </c>
      <c r="J28" s="12" t="s">
        <v>50</v>
      </c>
      <c r="K28" s="8">
        <v>7101505202</v>
      </c>
      <c r="L28" s="8">
        <v>42110206390</v>
      </c>
      <c r="M28" s="12" t="s">
        <v>330</v>
      </c>
      <c r="N28" s="8" t="s">
        <v>331</v>
      </c>
      <c r="O28" s="11" t="str">
        <f t="shared" si="2"/>
        <v>50818720</v>
      </c>
      <c r="P28" s="11" t="str">
        <f t="shared" si="3"/>
        <v>50818720</v>
      </c>
      <c r="Q28" s="12" t="s">
        <v>893</v>
      </c>
      <c r="R28" s="8">
        <v>2</v>
      </c>
      <c r="S28" s="8" t="s">
        <v>837</v>
      </c>
      <c r="T28" s="8" t="s">
        <v>104</v>
      </c>
      <c r="U28" s="28">
        <f>VLOOKUP($L28,Tabla1[#All],4,FALSE)</f>
        <v>23.077973</v>
      </c>
      <c r="V28" s="28">
        <f>VLOOKUP($L28,Tabla1[#All],5,FALSE)</f>
        <v>-82.508910999999998</v>
      </c>
      <c r="W28" s="43" t="s">
        <v>1717</v>
      </c>
    </row>
    <row r="29" spans="2:23" ht="15.6" customHeight="1">
      <c r="B29" s="8">
        <v>2794</v>
      </c>
      <c r="C29" s="16" t="str">
        <f t="shared" si="0"/>
        <v>2794-3451</v>
      </c>
      <c r="D29" s="11">
        <v>24013451</v>
      </c>
      <c r="E29" s="8" t="str">
        <f t="shared" si="1"/>
        <v>2794 - 3451</v>
      </c>
      <c r="F29" s="12" t="s">
        <v>585</v>
      </c>
      <c r="G29" s="55">
        <v>12.3</v>
      </c>
      <c r="H29" s="8">
        <v>1</v>
      </c>
      <c r="I29" s="13">
        <v>972.9</v>
      </c>
      <c r="J29" s="12" t="s">
        <v>50</v>
      </c>
      <c r="K29" s="8">
        <v>7101505202</v>
      </c>
      <c r="L29" s="8">
        <v>42110206390</v>
      </c>
      <c r="M29" s="12" t="s">
        <v>330</v>
      </c>
      <c r="N29" s="8" t="s">
        <v>331</v>
      </c>
      <c r="O29" s="11" t="str">
        <f t="shared" si="2"/>
        <v>50818720</v>
      </c>
      <c r="P29" s="11" t="str">
        <f t="shared" si="3"/>
        <v>50818720</v>
      </c>
      <c r="Q29" s="12" t="s">
        <v>893</v>
      </c>
      <c r="R29" s="8">
        <v>2</v>
      </c>
      <c r="S29" s="8" t="s">
        <v>837</v>
      </c>
      <c r="T29" s="8" t="s">
        <v>104</v>
      </c>
      <c r="U29" s="28">
        <f>VLOOKUP($L29,Tabla1[#All],4,FALSE)</f>
        <v>23.077973</v>
      </c>
      <c r="V29" s="28">
        <f>VLOOKUP($L29,Tabla1[#All],5,FALSE)</f>
        <v>-82.508910999999998</v>
      </c>
      <c r="W29" s="43" t="s">
        <v>1717</v>
      </c>
    </row>
    <row r="30" spans="2:23" ht="15.6" customHeight="1">
      <c r="B30" s="47">
        <v>2794</v>
      </c>
      <c r="C30" s="48" t="str">
        <f t="shared" si="0"/>
        <v>2794-3452</v>
      </c>
      <c r="D30" s="49">
        <v>24013452</v>
      </c>
      <c r="E30" s="47" t="str">
        <f t="shared" si="1"/>
        <v>2794 - 3452</v>
      </c>
      <c r="F30" s="50" t="s">
        <v>585</v>
      </c>
      <c r="G30" s="51">
        <v>12.3</v>
      </c>
      <c r="H30" s="47">
        <v>1</v>
      </c>
      <c r="I30" s="52"/>
      <c r="J30" s="50" t="s">
        <v>50</v>
      </c>
      <c r="K30" s="47">
        <v>7101505202</v>
      </c>
      <c r="L30" s="47">
        <v>42110206390</v>
      </c>
      <c r="M30" s="50" t="s">
        <v>330</v>
      </c>
      <c r="N30" s="47" t="s">
        <v>331</v>
      </c>
      <c r="O30" s="49" t="str">
        <f t="shared" si="2"/>
        <v>50818720</v>
      </c>
      <c r="P30" s="49" t="str">
        <f t="shared" si="3"/>
        <v>50818720</v>
      </c>
      <c r="Q30" s="50" t="s">
        <v>893</v>
      </c>
      <c r="R30" s="47">
        <v>2</v>
      </c>
      <c r="S30" s="47" t="s">
        <v>837</v>
      </c>
      <c r="T30" s="47" t="s">
        <v>104</v>
      </c>
      <c r="U30" s="53">
        <f>VLOOKUP($L30,Tabla1[#All],4,FALSE)</f>
        <v>23.077973</v>
      </c>
      <c r="V30" s="53">
        <f>VLOOKUP($L30,Tabla1[#All],5,FALSE)</f>
        <v>-82.508910999999998</v>
      </c>
      <c r="W30" s="54" t="s">
        <v>1697</v>
      </c>
    </row>
    <row r="31" spans="2:23" ht="15.6" customHeight="1">
      <c r="B31" s="8">
        <v>2794</v>
      </c>
      <c r="C31" s="16" t="str">
        <f t="shared" si="0"/>
        <v>2794-3458</v>
      </c>
      <c r="D31" s="11">
        <v>24013458</v>
      </c>
      <c r="E31" s="8" t="str">
        <f t="shared" si="1"/>
        <v>2794 - 3458</v>
      </c>
      <c r="F31" s="12" t="s">
        <v>343</v>
      </c>
      <c r="G31" s="10">
        <v>10</v>
      </c>
      <c r="H31" s="8">
        <v>1</v>
      </c>
      <c r="I31" s="13">
        <v>295</v>
      </c>
      <c r="J31" s="12" t="s">
        <v>50</v>
      </c>
      <c r="K31" s="8">
        <v>7101505202</v>
      </c>
      <c r="L31" s="8">
        <v>44060406133</v>
      </c>
      <c r="M31" s="12" t="s">
        <v>344</v>
      </c>
      <c r="N31" s="8" t="s">
        <v>345</v>
      </c>
      <c r="O31" s="11" t="str">
        <f t="shared" si="2"/>
        <v>54801630</v>
      </c>
      <c r="P31" s="11" t="str">
        <f t="shared" si="3"/>
        <v>54801630</v>
      </c>
      <c r="Q31" s="12" t="s">
        <v>950</v>
      </c>
      <c r="R31" s="8">
        <v>2</v>
      </c>
      <c r="S31" s="8" t="s">
        <v>912</v>
      </c>
      <c r="T31" s="8" t="s">
        <v>69</v>
      </c>
      <c r="U31" s="28">
        <f>VLOOKUP($L31,Tabla1[#All],4,FALSE)</f>
        <v>20.893442</v>
      </c>
      <c r="V31" s="28">
        <f>VLOOKUP($L31,Tabla1[#All],5,FALSE)</f>
        <v>-76.259219000000002</v>
      </c>
      <c r="W31" s="43" t="s">
        <v>1717</v>
      </c>
    </row>
    <row r="32" spans="2:23" ht="15.6" customHeight="1">
      <c r="B32" s="8">
        <v>2794</v>
      </c>
      <c r="C32" s="16" t="str">
        <f t="shared" si="0"/>
        <v>2794-3464</v>
      </c>
      <c r="D32" s="11">
        <v>24013464</v>
      </c>
      <c r="E32" s="8" t="str">
        <f t="shared" si="1"/>
        <v>2794 - 3464</v>
      </c>
      <c r="F32" s="12" t="s">
        <v>582</v>
      </c>
      <c r="G32" s="10">
        <v>13.3</v>
      </c>
      <c r="H32" s="8">
        <v>1</v>
      </c>
      <c r="I32" s="13">
        <v>1350.9</v>
      </c>
      <c r="J32" s="12" t="s">
        <v>50</v>
      </c>
      <c r="K32" s="8">
        <v>7101505202</v>
      </c>
      <c r="L32" s="8">
        <v>46071506449</v>
      </c>
      <c r="M32" s="12" t="s">
        <v>356</v>
      </c>
      <c r="N32" s="8" t="s">
        <v>357</v>
      </c>
      <c r="O32" s="11" t="str">
        <f t="shared" si="2"/>
        <v>59068419</v>
      </c>
      <c r="P32" s="11" t="str">
        <f t="shared" si="3"/>
        <v>59068419</v>
      </c>
      <c r="Q32" s="12" t="s">
        <v>869</v>
      </c>
      <c r="R32" s="8">
        <v>2</v>
      </c>
      <c r="S32" s="8" t="s">
        <v>867</v>
      </c>
      <c r="T32" s="8" t="s">
        <v>358</v>
      </c>
      <c r="U32" s="28">
        <f>VLOOKUP($L32,Tabla1[#All],4,FALSE)</f>
        <v>21.383011</v>
      </c>
      <c r="V32" s="28">
        <f>VLOOKUP($L32,Tabla1[#All],5,FALSE)</f>
        <v>-77.912215000000003</v>
      </c>
      <c r="W32" s="43" t="s">
        <v>1719</v>
      </c>
    </row>
    <row r="33" spans="2:23" ht="15.6" customHeight="1">
      <c r="B33" s="8">
        <v>2783</v>
      </c>
      <c r="C33" s="16" t="str">
        <f t="shared" si="0"/>
        <v>2783-3353</v>
      </c>
      <c r="D33" s="8">
        <v>24013353</v>
      </c>
      <c r="E33" s="8" t="str">
        <f t="shared" si="1"/>
        <v>2783 - 3353</v>
      </c>
      <c r="F33" s="12" t="s">
        <v>691</v>
      </c>
      <c r="G33" s="33">
        <v>29.7</v>
      </c>
      <c r="H33" s="8">
        <v>1</v>
      </c>
      <c r="I33" s="13">
        <v>2046</v>
      </c>
      <c r="J33" s="12" t="s">
        <v>50</v>
      </c>
      <c r="K33" s="8">
        <v>7101505202</v>
      </c>
      <c r="L33" s="8">
        <v>47101711294</v>
      </c>
      <c r="M33" s="12" t="s">
        <v>692</v>
      </c>
      <c r="N33" s="8" t="s">
        <v>693</v>
      </c>
      <c r="O33" s="11" t="str">
        <f t="shared" si="2"/>
        <v>50277214</v>
      </c>
      <c r="P33" s="11" t="str">
        <f t="shared" si="3"/>
        <v>50277214</v>
      </c>
      <c r="Q33" s="12" t="s">
        <v>896</v>
      </c>
      <c r="R33" s="8">
        <v>2</v>
      </c>
      <c r="S33" s="8" t="s">
        <v>837</v>
      </c>
      <c r="T33" s="8" t="s">
        <v>104</v>
      </c>
      <c r="U33" s="28">
        <f>VLOOKUP($L33,Tabla1[#All],4,FALSE)</f>
        <v>23.115801000000001</v>
      </c>
      <c r="V33" s="28">
        <f>VLOOKUP($L33,Tabla1[#All],5,FALSE)</f>
        <v>-82.415150999999994</v>
      </c>
      <c r="W33" s="43" t="s">
        <v>1717</v>
      </c>
    </row>
    <row r="34" spans="2:23" ht="15.6" customHeight="1">
      <c r="B34" s="8">
        <v>2794</v>
      </c>
      <c r="C34" s="16" t="str">
        <f t="shared" si="0"/>
        <v>2794-3531</v>
      </c>
      <c r="D34" s="11">
        <v>24013531</v>
      </c>
      <c r="E34" s="8" t="str">
        <f t="shared" si="1"/>
        <v>2794 - 3531</v>
      </c>
      <c r="F34" s="12" t="s">
        <v>548</v>
      </c>
      <c r="G34" s="10">
        <v>16.8</v>
      </c>
      <c r="H34" s="8">
        <v>1</v>
      </c>
      <c r="I34" s="13">
        <v>1350.9</v>
      </c>
      <c r="J34" s="12" t="s">
        <v>50</v>
      </c>
      <c r="K34" s="8">
        <v>7101505202</v>
      </c>
      <c r="L34" s="8">
        <v>49090417130</v>
      </c>
      <c r="M34" s="12" t="s">
        <v>481</v>
      </c>
      <c r="N34" s="8" t="s">
        <v>482</v>
      </c>
      <c r="O34" s="11" t="str">
        <f t="shared" si="2"/>
        <v>53843078</v>
      </c>
      <c r="P34" s="11" t="str">
        <f t="shared" si="3"/>
        <v>53843078</v>
      </c>
      <c r="Q34" s="12" t="s">
        <v>1013</v>
      </c>
      <c r="R34" s="8">
        <v>2</v>
      </c>
      <c r="S34" s="8" t="s">
        <v>994</v>
      </c>
      <c r="T34" s="8" t="s">
        <v>79</v>
      </c>
      <c r="U34" s="28">
        <f>VLOOKUP($L34,Tabla1[#All],4,FALSE)</f>
        <v>20.008329</v>
      </c>
      <c r="V34" s="28">
        <f>VLOOKUP($L34,Tabla1[#All],5,FALSE)</f>
        <v>-75.837294999999997</v>
      </c>
      <c r="W34" s="43" t="s">
        <v>1717</v>
      </c>
    </row>
    <row r="35" spans="2:23" ht="15.6" customHeight="1">
      <c r="B35" s="8">
        <v>2864</v>
      </c>
      <c r="C35" s="16" t="str">
        <f t="shared" si="0"/>
        <v>2864-3631</v>
      </c>
      <c r="D35" s="8">
        <v>24013631</v>
      </c>
      <c r="E35" s="8" t="str">
        <f t="shared" si="1"/>
        <v>2864 - 3631</v>
      </c>
      <c r="F35" s="9" t="s">
        <v>124</v>
      </c>
      <c r="G35" s="10">
        <v>16.64</v>
      </c>
      <c r="H35" s="11">
        <v>1</v>
      </c>
      <c r="I35" s="13">
        <v>1350.9</v>
      </c>
      <c r="J35" s="12" t="s">
        <v>230</v>
      </c>
      <c r="K35" s="11">
        <v>65082578945</v>
      </c>
      <c r="L35" s="11">
        <v>51081404862</v>
      </c>
      <c r="M35" s="12" t="s">
        <v>231</v>
      </c>
      <c r="N35" s="8" t="s">
        <v>232</v>
      </c>
      <c r="O35" s="11" t="str">
        <f t="shared" si="2"/>
        <v>42892024</v>
      </c>
      <c r="P35" s="11" t="str">
        <f t="shared" si="3"/>
        <v>58907938</v>
      </c>
      <c r="Q35" s="12" t="s">
        <v>1063</v>
      </c>
      <c r="R35" s="8">
        <v>2</v>
      </c>
      <c r="S35" s="8" t="s">
        <v>1048</v>
      </c>
      <c r="T35" s="8" t="s">
        <v>211</v>
      </c>
      <c r="U35" s="28">
        <f>VLOOKUP($L35,Tabla1[#All],4,FALSE)</f>
        <v>22.614122999999999</v>
      </c>
      <c r="V35" s="28">
        <f>VLOOKUP($L35,Tabla1[#All],5,FALSE)</f>
        <v>-79.864880999999997</v>
      </c>
      <c r="W35" s="43" t="s">
        <v>1718</v>
      </c>
    </row>
    <row r="36" spans="2:23" ht="15.6" customHeight="1">
      <c r="B36" s="8">
        <v>2783</v>
      </c>
      <c r="C36" s="16" t="str">
        <f t="shared" si="0"/>
        <v>2783-3391</v>
      </c>
      <c r="D36" s="8">
        <v>24013391</v>
      </c>
      <c r="E36" s="8" t="str">
        <f t="shared" si="1"/>
        <v>2783 - 3391</v>
      </c>
      <c r="F36" s="12" t="s">
        <v>33</v>
      </c>
      <c r="G36" s="33">
        <v>5</v>
      </c>
      <c r="H36" s="8">
        <v>1</v>
      </c>
      <c r="I36" s="13">
        <v>443.7</v>
      </c>
      <c r="J36" s="12" t="s">
        <v>787</v>
      </c>
      <c r="K36" s="8">
        <v>83102416667</v>
      </c>
      <c r="L36" s="8">
        <v>51091929335</v>
      </c>
      <c r="M36" s="12" t="s">
        <v>788</v>
      </c>
      <c r="N36" s="8" t="s">
        <v>789</v>
      </c>
      <c r="O36" s="11" t="str">
        <f t="shared" si="2"/>
        <v>72302532</v>
      </c>
      <c r="P36" s="11" t="str">
        <f t="shared" si="3"/>
        <v>54061450</v>
      </c>
      <c r="Q36" s="12" t="s">
        <v>910</v>
      </c>
      <c r="R36" s="8">
        <v>2</v>
      </c>
      <c r="S36" s="8" t="s">
        <v>843</v>
      </c>
      <c r="T36" s="8" t="s">
        <v>104</v>
      </c>
      <c r="U36" s="28">
        <f>VLOOKUP($L36,Tabla1[#All],4,FALSE)</f>
        <v>23.094083000000001</v>
      </c>
      <c r="V36" s="28">
        <f>VLOOKUP($L36,Tabla1[#All],5,FALSE)</f>
        <v>-82.413880000000006</v>
      </c>
      <c r="W36" s="43" t="s">
        <v>1717</v>
      </c>
    </row>
    <row r="37" spans="2:23" ht="15.6" customHeight="1">
      <c r="B37" s="8">
        <v>2783</v>
      </c>
      <c r="C37" s="16" t="str">
        <f t="shared" si="0"/>
        <v>2783-3392</v>
      </c>
      <c r="D37" s="8">
        <v>24013392</v>
      </c>
      <c r="E37" s="8" t="str">
        <f t="shared" si="1"/>
        <v>2783 - 3392</v>
      </c>
      <c r="F37" s="12" t="s">
        <v>33</v>
      </c>
      <c r="G37" s="33">
        <v>5</v>
      </c>
      <c r="H37" s="8">
        <v>1</v>
      </c>
      <c r="I37" s="13">
        <v>295</v>
      </c>
      <c r="J37" s="12" t="s">
        <v>787</v>
      </c>
      <c r="K37" s="8">
        <v>83102416667</v>
      </c>
      <c r="L37" s="8">
        <v>51091929335</v>
      </c>
      <c r="M37" s="12" t="s">
        <v>788</v>
      </c>
      <c r="N37" s="8" t="s">
        <v>789</v>
      </c>
      <c r="O37" s="11" t="str">
        <f t="shared" si="2"/>
        <v>72302532</v>
      </c>
      <c r="P37" s="11" t="str">
        <f t="shared" si="3"/>
        <v>54061450</v>
      </c>
      <c r="Q37" s="12" t="s">
        <v>910</v>
      </c>
      <c r="R37" s="8">
        <v>2</v>
      </c>
      <c r="S37" s="8" t="s">
        <v>843</v>
      </c>
      <c r="T37" s="8" t="s">
        <v>104</v>
      </c>
      <c r="U37" s="28">
        <f>VLOOKUP($L37,Tabla1[#All],4,FALSE)</f>
        <v>23.094083000000001</v>
      </c>
      <c r="V37" s="28">
        <f>VLOOKUP($L37,Tabla1[#All],5,FALSE)</f>
        <v>-82.413880000000006</v>
      </c>
      <c r="W37" s="43" t="s">
        <v>1717</v>
      </c>
    </row>
    <row r="38" spans="2:23" ht="15.6" customHeight="1">
      <c r="B38" s="8">
        <v>2864</v>
      </c>
      <c r="C38" s="16" t="str">
        <f t="shared" si="0"/>
        <v>2864-3584</v>
      </c>
      <c r="D38" s="8">
        <v>24013584</v>
      </c>
      <c r="E38" s="8" t="str">
        <f t="shared" si="1"/>
        <v>2864 - 3584</v>
      </c>
      <c r="F38" s="9" t="s">
        <v>49</v>
      </c>
      <c r="G38" s="55">
        <v>20.3</v>
      </c>
      <c r="H38" s="11">
        <v>1</v>
      </c>
      <c r="I38" s="13">
        <v>3898.2</v>
      </c>
      <c r="J38" s="12" t="s">
        <v>50</v>
      </c>
      <c r="K38" s="11">
        <v>7101505202</v>
      </c>
      <c r="L38" s="11">
        <v>51100123531</v>
      </c>
      <c r="M38" s="12" t="s">
        <v>51</v>
      </c>
      <c r="N38" s="8" t="s">
        <v>52</v>
      </c>
      <c r="O38" s="11" t="str">
        <f t="shared" si="2"/>
        <v>53353482</v>
      </c>
      <c r="P38" s="11" t="str">
        <f t="shared" si="3"/>
        <v>53353482</v>
      </c>
      <c r="Q38" s="12" t="s">
        <v>856</v>
      </c>
      <c r="R38" s="8">
        <v>2</v>
      </c>
      <c r="S38" s="8" t="s">
        <v>852</v>
      </c>
      <c r="T38" s="8" t="s">
        <v>31</v>
      </c>
      <c r="U38" s="28">
        <f>VLOOKUP($L38,Tabla1[#All],4,FALSE)</f>
        <v>22.950195000000001</v>
      </c>
      <c r="V38" s="28">
        <f>VLOOKUP($L38,Tabla1[#All],5,FALSE)</f>
        <v>-82.593817000000001</v>
      </c>
      <c r="W38" s="43" t="s">
        <v>1717</v>
      </c>
    </row>
    <row r="39" spans="2:23" ht="15.6" customHeight="1">
      <c r="B39" s="8">
        <v>2794</v>
      </c>
      <c r="C39" s="16" t="str">
        <f t="shared" si="0"/>
        <v>2794-3473</v>
      </c>
      <c r="D39" s="11">
        <v>24013473</v>
      </c>
      <c r="E39" s="8" t="str">
        <f t="shared" si="1"/>
        <v>2794 - 3473</v>
      </c>
      <c r="F39" s="12" t="s">
        <v>375</v>
      </c>
      <c r="G39" s="10">
        <v>22.5</v>
      </c>
      <c r="H39" s="8">
        <v>1</v>
      </c>
      <c r="I39" s="13">
        <v>1857</v>
      </c>
      <c r="J39" s="12" t="s">
        <v>50</v>
      </c>
      <c r="K39" s="8">
        <v>7101505202</v>
      </c>
      <c r="L39" s="8">
        <v>54031502552</v>
      </c>
      <c r="M39" s="12" t="s">
        <v>376</v>
      </c>
      <c r="N39" s="8" t="s">
        <v>377</v>
      </c>
      <c r="O39" s="11" t="str">
        <f t="shared" si="2"/>
        <v>54340046</v>
      </c>
      <c r="P39" s="11" t="str">
        <f t="shared" si="3"/>
        <v>54340046</v>
      </c>
      <c r="Q39" s="12" t="s">
        <v>1078</v>
      </c>
      <c r="R39" s="8">
        <v>2</v>
      </c>
      <c r="S39" s="8" t="s">
        <v>1042</v>
      </c>
      <c r="T39" s="8" t="s">
        <v>211</v>
      </c>
      <c r="U39" s="28">
        <f>VLOOKUP($L39,Tabla1[#All],4,FALSE)</f>
        <v>22.391373999999999</v>
      </c>
      <c r="V39" s="28">
        <f>VLOOKUP($L39,Tabla1[#All],5,FALSE)</f>
        <v>-79.956429</v>
      </c>
      <c r="W39" s="43" t="s">
        <v>1718</v>
      </c>
    </row>
    <row r="40" spans="2:23" ht="15.6" customHeight="1">
      <c r="B40" s="8">
        <v>2794</v>
      </c>
      <c r="C40" s="16" t="str">
        <f t="shared" si="0"/>
        <v>2794-3474</v>
      </c>
      <c r="D40" s="11">
        <v>24013474</v>
      </c>
      <c r="E40" s="8" t="str">
        <f t="shared" si="1"/>
        <v>2794 - 3474</v>
      </c>
      <c r="F40" s="12" t="s">
        <v>378</v>
      </c>
      <c r="G40" s="10">
        <v>14.9</v>
      </c>
      <c r="H40" s="8">
        <v>1</v>
      </c>
      <c r="I40" s="13">
        <v>1048.5</v>
      </c>
      <c r="J40" s="12" t="s">
        <v>50</v>
      </c>
      <c r="K40" s="8">
        <v>7101505202</v>
      </c>
      <c r="L40" s="8">
        <v>54031502552</v>
      </c>
      <c r="M40" s="12" t="s">
        <v>376</v>
      </c>
      <c r="N40" s="8" t="s">
        <v>377</v>
      </c>
      <c r="O40" s="11" t="str">
        <f t="shared" si="2"/>
        <v>54340046</v>
      </c>
      <c r="P40" s="11" t="str">
        <f t="shared" si="3"/>
        <v>54340046</v>
      </c>
      <c r="Q40" s="12" t="s">
        <v>1078</v>
      </c>
      <c r="R40" s="8">
        <v>2</v>
      </c>
      <c r="S40" s="8" t="s">
        <v>1042</v>
      </c>
      <c r="T40" s="8" t="s">
        <v>211</v>
      </c>
      <c r="U40" s="28">
        <f>VLOOKUP($L40,Tabla1[#All],4,FALSE)</f>
        <v>22.391373999999999</v>
      </c>
      <c r="V40" s="28">
        <f>VLOOKUP($L40,Tabla1[#All],5,FALSE)</f>
        <v>-79.956429</v>
      </c>
      <c r="W40" s="43" t="s">
        <v>1718</v>
      </c>
    </row>
    <row r="41" spans="2:23" ht="15.6" customHeight="1">
      <c r="B41" s="8">
        <v>2794</v>
      </c>
      <c r="C41" s="16" t="str">
        <f t="shared" si="0"/>
        <v>2794-3540</v>
      </c>
      <c r="D41" s="11">
        <v>24013540</v>
      </c>
      <c r="E41" s="8" t="str">
        <f t="shared" si="1"/>
        <v>2794 - 3540</v>
      </c>
      <c r="F41" s="12" t="s">
        <v>494</v>
      </c>
      <c r="G41" s="10">
        <v>12.6</v>
      </c>
      <c r="H41" s="8">
        <v>1</v>
      </c>
      <c r="I41" s="13">
        <v>1502.1</v>
      </c>
      <c r="J41" s="12" t="s">
        <v>50</v>
      </c>
      <c r="K41" s="8">
        <v>7101505202</v>
      </c>
      <c r="L41" s="8">
        <v>54041406910</v>
      </c>
      <c r="M41" s="12" t="s">
        <v>495</v>
      </c>
      <c r="N41" s="8" t="s">
        <v>496</v>
      </c>
      <c r="O41" s="11" t="str">
        <f t="shared" si="2"/>
        <v>50644766</v>
      </c>
      <c r="P41" s="11" t="str">
        <f t="shared" si="3"/>
        <v>50644766</v>
      </c>
      <c r="Q41" s="12" t="s">
        <v>980</v>
      </c>
      <c r="R41" s="8">
        <v>2</v>
      </c>
      <c r="S41" s="8" t="s">
        <v>970</v>
      </c>
      <c r="T41" s="8" t="s">
        <v>202</v>
      </c>
      <c r="U41" s="28">
        <f>VLOOKUP($L41,Tabla1[#All],4,FALSE)</f>
        <v>22.670703</v>
      </c>
      <c r="V41" s="28">
        <f>VLOOKUP($L41,Tabla1[#All],5,FALSE)</f>
        <v>-83.568493000000004</v>
      </c>
      <c r="W41" s="43" t="s">
        <v>1717</v>
      </c>
    </row>
    <row r="42" spans="2:23" ht="15.6" customHeight="1">
      <c r="B42" s="8">
        <v>2794</v>
      </c>
      <c r="C42" s="16" t="str">
        <f t="shared" si="0"/>
        <v>2794-3541</v>
      </c>
      <c r="D42" s="11">
        <v>24013541</v>
      </c>
      <c r="E42" s="8" t="str">
        <f t="shared" si="1"/>
        <v>2794 - 3541</v>
      </c>
      <c r="F42" s="12" t="s">
        <v>494</v>
      </c>
      <c r="G42" s="10">
        <v>11.5</v>
      </c>
      <c r="H42" s="8">
        <v>1</v>
      </c>
      <c r="I42" s="13">
        <v>972.9</v>
      </c>
      <c r="J42" s="12" t="s">
        <v>50</v>
      </c>
      <c r="K42" s="8">
        <v>7101505202</v>
      </c>
      <c r="L42" s="8">
        <v>54041406910</v>
      </c>
      <c r="M42" s="12" t="s">
        <v>495</v>
      </c>
      <c r="N42" s="8" t="s">
        <v>496</v>
      </c>
      <c r="O42" s="11" t="str">
        <f t="shared" si="2"/>
        <v>50644766</v>
      </c>
      <c r="P42" s="11" t="str">
        <f t="shared" si="3"/>
        <v>50644766</v>
      </c>
      <c r="Q42" s="12" t="s">
        <v>980</v>
      </c>
      <c r="R42" s="8">
        <v>2</v>
      </c>
      <c r="S42" s="8" t="s">
        <v>970</v>
      </c>
      <c r="T42" s="8" t="s">
        <v>202</v>
      </c>
      <c r="U42" s="28">
        <f>VLOOKUP($L42,Tabla1[#All],4,FALSE)</f>
        <v>22.670703</v>
      </c>
      <c r="V42" s="28">
        <f>VLOOKUP($L42,Tabla1[#All],5,FALSE)</f>
        <v>-83.568493000000004</v>
      </c>
      <c r="W42" s="43" t="s">
        <v>1717</v>
      </c>
    </row>
    <row r="43" spans="2:23" ht="15.6" customHeight="1">
      <c r="B43" s="8">
        <v>2794</v>
      </c>
      <c r="C43" s="16" t="str">
        <f t="shared" si="0"/>
        <v>2794-3542</v>
      </c>
      <c r="D43" s="11">
        <v>24013542</v>
      </c>
      <c r="E43" s="8" t="str">
        <f t="shared" si="1"/>
        <v>2794 - 3542</v>
      </c>
      <c r="F43" s="12" t="s">
        <v>497</v>
      </c>
      <c r="G43" s="10">
        <v>6.4</v>
      </c>
      <c r="H43" s="8">
        <v>1</v>
      </c>
      <c r="I43" s="13">
        <v>519.29999999999995</v>
      </c>
      <c r="J43" s="12" t="s">
        <v>50</v>
      </c>
      <c r="K43" s="8">
        <v>7101505202</v>
      </c>
      <c r="L43" s="8">
        <v>54041406910</v>
      </c>
      <c r="M43" s="12" t="s">
        <v>495</v>
      </c>
      <c r="N43" s="8" t="s">
        <v>496</v>
      </c>
      <c r="O43" s="11" t="str">
        <f t="shared" si="2"/>
        <v>50644766</v>
      </c>
      <c r="P43" s="11" t="str">
        <f t="shared" si="3"/>
        <v>50644766</v>
      </c>
      <c r="Q43" s="12" t="s">
        <v>980</v>
      </c>
      <c r="R43" s="8">
        <v>2</v>
      </c>
      <c r="S43" s="8" t="s">
        <v>970</v>
      </c>
      <c r="T43" s="8" t="s">
        <v>202</v>
      </c>
      <c r="U43" s="28">
        <f>VLOOKUP($L43,Tabla1[#All],4,FALSE)</f>
        <v>22.670703</v>
      </c>
      <c r="V43" s="28">
        <f>VLOOKUP($L43,Tabla1[#All],5,FALSE)</f>
        <v>-83.568493000000004</v>
      </c>
      <c r="W43" s="43" t="s">
        <v>1717</v>
      </c>
    </row>
    <row r="44" spans="2:23" ht="15.6" customHeight="1">
      <c r="B44" s="8">
        <v>2794</v>
      </c>
      <c r="C44" s="16" t="str">
        <f t="shared" si="0"/>
        <v>2794-3543</v>
      </c>
      <c r="D44" s="11">
        <v>24013543</v>
      </c>
      <c r="E44" s="8" t="str">
        <f t="shared" si="1"/>
        <v>2794 - 3543</v>
      </c>
      <c r="F44" s="12" t="s">
        <v>498</v>
      </c>
      <c r="G44" s="10">
        <v>7.2</v>
      </c>
      <c r="H44" s="8">
        <v>1</v>
      </c>
      <c r="I44" s="13">
        <v>594.9</v>
      </c>
      <c r="J44" s="12" t="s">
        <v>50</v>
      </c>
      <c r="K44" s="8">
        <v>7101505202</v>
      </c>
      <c r="L44" s="8">
        <v>54041406910</v>
      </c>
      <c r="M44" s="12" t="s">
        <v>495</v>
      </c>
      <c r="N44" s="8" t="s">
        <v>496</v>
      </c>
      <c r="O44" s="11" t="str">
        <f t="shared" si="2"/>
        <v>50644766</v>
      </c>
      <c r="P44" s="11" t="str">
        <f t="shared" si="3"/>
        <v>50644766</v>
      </c>
      <c r="Q44" s="12" t="s">
        <v>980</v>
      </c>
      <c r="R44" s="8">
        <v>2</v>
      </c>
      <c r="S44" s="8" t="s">
        <v>970</v>
      </c>
      <c r="T44" s="8" t="s">
        <v>202</v>
      </c>
      <c r="U44" s="28">
        <f>VLOOKUP($L44,Tabla1[#All],4,FALSE)</f>
        <v>22.670703</v>
      </c>
      <c r="V44" s="28">
        <f>VLOOKUP($L44,Tabla1[#All],5,FALSE)</f>
        <v>-83.568493000000004</v>
      </c>
      <c r="W44" s="43" t="s">
        <v>1717</v>
      </c>
    </row>
    <row r="45" spans="2:23" ht="15.6" customHeight="1">
      <c r="B45" s="8">
        <v>2864</v>
      </c>
      <c r="C45" s="16" t="str">
        <f t="shared" si="0"/>
        <v>2864-3643</v>
      </c>
      <c r="D45" s="8">
        <v>24013643</v>
      </c>
      <c r="E45" s="8" t="str">
        <f t="shared" si="1"/>
        <v>2864 - 3643</v>
      </c>
      <c r="F45" s="9" t="s">
        <v>175</v>
      </c>
      <c r="G45" s="33">
        <v>15.58</v>
      </c>
      <c r="H45" s="11">
        <v>1</v>
      </c>
      <c r="I45" s="13">
        <v>3142.2</v>
      </c>
      <c r="J45" s="12" t="s">
        <v>176</v>
      </c>
      <c r="K45" s="11">
        <v>7101505202</v>
      </c>
      <c r="L45" s="11">
        <v>55020303952</v>
      </c>
      <c r="M45" s="12" t="s">
        <v>177</v>
      </c>
      <c r="N45" s="8" t="s">
        <v>178</v>
      </c>
      <c r="O45" s="11" t="str">
        <f t="shared" si="2"/>
        <v>76933349</v>
      </c>
      <c r="P45" s="11" t="str">
        <f t="shared" si="3"/>
        <v>63976003</v>
      </c>
      <c r="Q45" s="12" t="s">
        <v>873</v>
      </c>
      <c r="R45" s="8">
        <v>2</v>
      </c>
      <c r="S45" s="8" t="s">
        <v>840</v>
      </c>
      <c r="T45" s="8" t="s">
        <v>104</v>
      </c>
      <c r="U45" s="28">
        <f>VLOOKUP($L45,Tabla1[#All],4,FALSE)</f>
        <v>23.094321999999998</v>
      </c>
      <c r="V45" s="28">
        <f>VLOOKUP($L45,Tabla1[#All],5,FALSE)</f>
        <v>-82.337342000000007</v>
      </c>
      <c r="W45" s="43" t="s">
        <v>1717</v>
      </c>
    </row>
    <row r="46" spans="2:23" ht="15.6" customHeight="1">
      <c r="B46" s="8">
        <v>2864</v>
      </c>
      <c r="C46" s="16" t="str">
        <f t="shared" si="0"/>
        <v>2864-3644</v>
      </c>
      <c r="D46" s="8">
        <v>24013644</v>
      </c>
      <c r="E46" s="8" t="str">
        <f t="shared" si="1"/>
        <v>2864 - 3644</v>
      </c>
      <c r="F46" s="9" t="s">
        <v>180</v>
      </c>
      <c r="G46" s="33">
        <v>4.62</v>
      </c>
      <c r="H46" s="11">
        <v>1</v>
      </c>
      <c r="I46" s="13">
        <v>295</v>
      </c>
      <c r="J46" s="12" t="s">
        <v>176</v>
      </c>
      <c r="K46" s="11">
        <v>7101505202</v>
      </c>
      <c r="L46" s="11">
        <v>55020303952</v>
      </c>
      <c r="M46" s="12" t="s">
        <v>177</v>
      </c>
      <c r="N46" s="8" t="s">
        <v>178</v>
      </c>
      <c r="O46" s="11" t="str">
        <f t="shared" si="2"/>
        <v>76933349</v>
      </c>
      <c r="P46" s="11" t="str">
        <f t="shared" si="3"/>
        <v>63976003</v>
      </c>
      <c r="Q46" s="12" t="s">
        <v>873</v>
      </c>
      <c r="R46" s="8">
        <v>2</v>
      </c>
      <c r="S46" s="8" t="s">
        <v>840</v>
      </c>
      <c r="T46" s="8" t="s">
        <v>104</v>
      </c>
      <c r="U46" s="28">
        <f>VLOOKUP($L46,Tabla1[#All],4,FALSE)</f>
        <v>23.094321999999998</v>
      </c>
      <c r="V46" s="28">
        <f>VLOOKUP($L46,Tabla1[#All],5,FALSE)</f>
        <v>-82.337342000000007</v>
      </c>
      <c r="W46" s="43" t="s">
        <v>1717</v>
      </c>
    </row>
    <row r="47" spans="2:23" ht="15.6" customHeight="1">
      <c r="B47" s="8">
        <v>2794</v>
      </c>
      <c r="C47" s="16" t="str">
        <f t="shared" si="0"/>
        <v>2794-3560</v>
      </c>
      <c r="D47" s="11">
        <v>24013560</v>
      </c>
      <c r="E47" s="8" t="str">
        <f t="shared" si="1"/>
        <v>2794 - 3560</v>
      </c>
      <c r="F47" s="12" t="s">
        <v>538</v>
      </c>
      <c r="G47" s="33">
        <v>22.8</v>
      </c>
      <c r="H47" s="8">
        <v>1</v>
      </c>
      <c r="I47" s="13">
        <v>1857</v>
      </c>
      <c r="J47" s="12" t="s">
        <v>50</v>
      </c>
      <c r="K47" s="8">
        <v>7101505202</v>
      </c>
      <c r="L47" s="8">
        <v>55021101947</v>
      </c>
      <c r="M47" s="12" t="s">
        <v>528</v>
      </c>
      <c r="N47" s="8" t="s">
        <v>529</v>
      </c>
      <c r="O47" s="11" t="str">
        <f t="shared" si="2"/>
        <v>53618270</v>
      </c>
      <c r="P47" s="11" t="str">
        <f t="shared" si="3"/>
        <v>53618270</v>
      </c>
      <c r="Q47" s="12" t="s">
        <v>965</v>
      </c>
      <c r="R47" s="8">
        <v>2</v>
      </c>
      <c r="S47" s="8" t="s">
        <v>964</v>
      </c>
      <c r="T47" s="8" t="s">
        <v>530</v>
      </c>
      <c r="U47" s="28">
        <f>VLOOKUP($L47,Tabla1[#All],4,FALSE)</f>
        <v>22.835650000000001</v>
      </c>
      <c r="V47" s="28">
        <f>VLOOKUP($L47,Tabla1[#All],5,FALSE)</f>
        <v>-82.030754000000002</v>
      </c>
      <c r="W47" s="43" t="s">
        <v>1717</v>
      </c>
    </row>
    <row r="48" spans="2:23" ht="15.6" customHeight="1">
      <c r="B48" s="8">
        <v>2794</v>
      </c>
      <c r="C48" s="16" t="str">
        <f t="shared" si="0"/>
        <v>2794-3561</v>
      </c>
      <c r="D48" s="11">
        <v>24013561</v>
      </c>
      <c r="E48" s="8" t="str">
        <f t="shared" si="1"/>
        <v>2794 - 3561</v>
      </c>
      <c r="F48" s="12" t="s">
        <v>538</v>
      </c>
      <c r="G48" s="33">
        <v>24.3</v>
      </c>
      <c r="H48" s="8">
        <v>1</v>
      </c>
      <c r="I48" s="13">
        <v>1932.6</v>
      </c>
      <c r="J48" s="12" t="s">
        <v>50</v>
      </c>
      <c r="K48" s="8">
        <v>7101505202</v>
      </c>
      <c r="L48" s="8">
        <v>55021101947</v>
      </c>
      <c r="M48" s="12" t="s">
        <v>528</v>
      </c>
      <c r="N48" s="8" t="s">
        <v>529</v>
      </c>
      <c r="O48" s="11" t="str">
        <f t="shared" si="2"/>
        <v>53618270</v>
      </c>
      <c r="P48" s="11" t="str">
        <f t="shared" si="3"/>
        <v>53618270</v>
      </c>
      <c r="Q48" s="12" t="s">
        <v>965</v>
      </c>
      <c r="R48" s="8">
        <v>2</v>
      </c>
      <c r="S48" s="8" t="s">
        <v>964</v>
      </c>
      <c r="T48" s="8" t="s">
        <v>530</v>
      </c>
      <c r="U48" s="28">
        <f>VLOOKUP($L48,Tabla1[#All],4,FALSE)</f>
        <v>22.835650000000001</v>
      </c>
      <c r="V48" s="28">
        <f>VLOOKUP($L48,Tabla1[#All],5,FALSE)</f>
        <v>-82.030754000000002</v>
      </c>
      <c r="W48" s="43" t="s">
        <v>1717</v>
      </c>
    </row>
    <row r="49" spans="2:23" ht="15.6" customHeight="1">
      <c r="B49" s="8">
        <v>2794</v>
      </c>
      <c r="C49" s="16" t="str">
        <f t="shared" si="0"/>
        <v>2794-3466</v>
      </c>
      <c r="D49" s="11">
        <v>24013466</v>
      </c>
      <c r="E49" s="8" t="str">
        <f t="shared" si="1"/>
        <v>2794 - 3466</v>
      </c>
      <c r="F49" s="12" t="s">
        <v>361</v>
      </c>
      <c r="G49" s="10">
        <v>4.7</v>
      </c>
      <c r="H49" s="8">
        <v>1</v>
      </c>
      <c r="I49" s="13">
        <v>443.7</v>
      </c>
      <c r="J49" s="12" t="s">
        <v>50</v>
      </c>
      <c r="K49" s="8">
        <v>7101505202</v>
      </c>
      <c r="L49" s="8">
        <v>55042902536</v>
      </c>
      <c r="M49" s="12" t="s">
        <v>362</v>
      </c>
      <c r="N49" s="8" t="s">
        <v>363</v>
      </c>
      <c r="O49" s="11" t="str">
        <f t="shared" si="2"/>
        <v>52408156</v>
      </c>
      <c r="P49" s="11" t="str">
        <f t="shared" si="3"/>
        <v>52408156</v>
      </c>
      <c r="Q49" s="12" t="s">
        <v>1069</v>
      </c>
      <c r="R49" s="8">
        <v>2</v>
      </c>
      <c r="S49" s="8" t="s">
        <v>1041</v>
      </c>
      <c r="T49" s="8" t="s">
        <v>1052</v>
      </c>
      <c r="U49" s="28">
        <f>VLOOKUP($L49,Tabla1[#All],4,FALSE)</f>
        <v>21.926306</v>
      </c>
      <c r="V49" s="28">
        <f>VLOOKUP($L49,Tabla1[#All],5,FALSE)</f>
        <v>-79.444694999999996</v>
      </c>
      <c r="W49" s="43" t="s">
        <v>1718</v>
      </c>
    </row>
    <row r="50" spans="2:23" ht="15.6" customHeight="1">
      <c r="B50" s="8">
        <v>2864</v>
      </c>
      <c r="C50" s="16" t="str">
        <f t="shared" si="0"/>
        <v>2864-3589</v>
      </c>
      <c r="D50" s="8">
        <v>24013589</v>
      </c>
      <c r="E50" s="8" t="str">
        <f t="shared" si="1"/>
        <v>2864 - 3589</v>
      </c>
      <c r="F50" s="9" t="s">
        <v>222</v>
      </c>
      <c r="G50" s="10">
        <v>3.4</v>
      </c>
      <c r="H50" s="11">
        <v>1</v>
      </c>
      <c r="I50" s="13">
        <v>295</v>
      </c>
      <c r="J50" s="12" t="s">
        <v>50</v>
      </c>
      <c r="K50" s="11">
        <v>7101505202</v>
      </c>
      <c r="L50" s="11">
        <v>55051507953</v>
      </c>
      <c r="M50" s="12" t="s">
        <v>223</v>
      </c>
      <c r="N50" s="8" t="s">
        <v>224</v>
      </c>
      <c r="O50" s="11" t="str">
        <f t="shared" si="2"/>
        <v>52719560</v>
      </c>
      <c r="P50" s="11" t="str">
        <f t="shared" si="3"/>
        <v>52719560</v>
      </c>
      <c r="Q50" s="12" t="s">
        <v>1035</v>
      </c>
      <c r="R50" s="8">
        <v>2</v>
      </c>
      <c r="S50" s="8" t="s">
        <v>994</v>
      </c>
      <c r="T50" s="8" t="s">
        <v>79</v>
      </c>
      <c r="U50" s="28">
        <f>VLOOKUP($L50,Tabla1[#All],4,FALSE)</f>
        <v>20.032727000000001</v>
      </c>
      <c r="V50" s="28">
        <f>VLOOKUP($L50,Tabla1[#All],5,FALSE)</f>
        <v>-75.833304999999996</v>
      </c>
      <c r="W50" s="43" t="s">
        <v>1717</v>
      </c>
    </row>
    <row r="51" spans="2:23" ht="15.6" customHeight="1">
      <c r="B51" s="8">
        <v>2794</v>
      </c>
      <c r="C51" s="16" t="str">
        <f t="shared" si="0"/>
        <v>2794-3491</v>
      </c>
      <c r="D51" s="11">
        <v>24013491</v>
      </c>
      <c r="E51" s="8" t="str">
        <f t="shared" si="1"/>
        <v>2794 - 3491</v>
      </c>
      <c r="F51" s="12" t="s">
        <v>570</v>
      </c>
      <c r="G51" s="10">
        <v>22.2</v>
      </c>
      <c r="H51" s="8">
        <v>1</v>
      </c>
      <c r="I51" s="13">
        <v>1857</v>
      </c>
      <c r="J51" s="12" t="s">
        <v>50</v>
      </c>
      <c r="K51" s="8">
        <v>7101505202</v>
      </c>
      <c r="L51" s="8">
        <v>55090805479</v>
      </c>
      <c r="M51" s="12" t="s">
        <v>249</v>
      </c>
      <c r="N51" s="8" t="s">
        <v>250</v>
      </c>
      <c r="O51" s="11" t="str">
        <f t="shared" si="2"/>
        <v>52829539</v>
      </c>
      <c r="P51" s="11" t="str">
        <f t="shared" si="3"/>
        <v>42201802</v>
      </c>
      <c r="Q51" s="12" t="s">
        <v>1409</v>
      </c>
      <c r="R51" s="8">
        <v>2</v>
      </c>
      <c r="S51" s="8" t="s">
        <v>1042</v>
      </c>
      <c r="T51" s="8" t="s">
        <v>211</v>
      </c>
      <c r="U51" s="28">
        <f>VLOOKUP($L51,Tabla1[#All],4,FALSE)</f>
        <v>22.405377999999999</v>
      </c>
      <c r="V51" s="28">
        <f>VLOOKUP($L51,Tabla1[#All],5,FALSE)</f>
        <v>-79.945884000000007</v>
      </c>
      <c r="W51" s="43" t="s">
        <v>1718</v>
      </c>
    </row>
    <row r="52" spans="2:23" ht="15.6" customHeight="1">
      <c r="B52" s="8">
        <v>2864</v>
      </c>
      <c r="C52" s="16" t="str">
        <f t="shared" si="0"/>
        <v>2864-3588</v>
      </c>
      <c r="D52" s="8">
        <v>24013588</v>
      </c>
      <c r="E52" s="8" t="str">
        <f t="shared" si="1"/>
        <v>2864 - 3588</v>
      </c>
      <c r="F52" s="9" t="s">
        <v>248</v>
      </c>
      <c r="G52" s="10">
        <v>9.6999999999999993</v>
      </c>
      <c r="H52" s="11">
        <v>1</v>
      </c>
      <c r="I52" s="13">
        <v>821.7</v>
      </c>
      <c r="J52" s="12" t="s">
        <v>50</v>
      </c>
      <c r="K52" s="11">
        <v>7101505202</v>
      </c>
      <c r="L52" s="11">
        <v>55090805479</v>
      </c>
      <c r="M52" s="12" t="s">
        <v>249</v>
      </c>
      <c r="N52" s="8" t="s">
        <v>250</v>
      </c>
      <c r="O52" s="11" t="str">
        <f t="shared" si="2"/>
        <v>52829539</v>
      </c>
      <c r="P52" s="11" t="str">
        <f t="shared" si="3"/>
        <v>42201802</v>
      </c>
      <c r="Q52" s="12" t="s">
        <v>1080</v>
      </c>
      <c r="R52" s="8">
        <v>2</v>
      </c>
      <c r="S52" s="8" t="s">
        <v>1042</v>
      </c>
      <c r="T52" s="8" t="s">
        <v>211</v>
      </c>
      <c r="U52" s="28">
        <f>VLOOKUP($L52,Tabla1[#All],4,FALSE)</f>
        <v>22.405377999999999</v>
      </c>
      <c r="V52" s="28">
        <f>VLOOKUP($L52,Tabla1[#All],5,FALSE)</f>
        <v>-79.945884000000007</v>
      </c>
      <c r="W52" s="43" t="s">
        <v>1718</v>
      </c>
    </row>
    <row r="53" spans="2:23" ht="15.6" customHeight="1">
      <c r="B53" s="8">
        <v>2794</v>
      </c>
      <c r="C53" s="16" t="str">
        <f t="shared" si="0"/>
        <v>2794-3536</v>
      </c>
      <c r="D53" s="11">
        <v>24013536</v>
      </c>
      <c r="E53" s="8" t="str">
        <f t="shared" si="1"/>
        <v>2794 - 3536</v>
      </c>
      <c r="F53" s="12" t="s">
        <v>487</v>
      </c>
      <c r="G53" s="10">
        <v>24.7</v>
      </c>
      <c r="H53" s="8">
        <v>1</v>
      </c>
      <c r="I53" s="13">
        <v>2008.2</v>
      </c>
      <c r="J53" s="12" t="s">
        <v>50</v>
      </c>
      <c r="K53" s="8">
        <v>7101505202</v>
      </c>
      <c r="L53" s="8">
        <v>56010907559</v>
      </c>
      <c r="M53" s="12" t="s">
        <v>488</v>
      </c>
      <c r="N53" s="8" t="s">
        <v>486</v>
      </c>
      <c r="O53" s="11" t="str">
        <f t="shared" si="2"/>
        <v>53746521</v>
      </c>
      <c r="P53" s="11" t="str">
        <f t="shared" si="3"/>
        <v>53746521</v>
      </c>
      <c r="Q53" s="12" t="s">
        <v>990</v>
      </c>
      <c r="R53" s="8">
        <v>2</v>
      </c>
      <c r="S53" s="8" t="s">
        <v>966</v>
      </c>
      <c r="T53" s="8" t="s">
        <v>202</v>
      </c>
      <c r="U53" s="28">
        <f>VLOOKUP($L53,Tabla1[#All],4,FALSE)</f>
        <v>22.417408600000002</v>
      </c>
      <c r="V53" s="28">
        <f>VLOOKUP($L53,Tabla1[#All],5,FALSE)</f>
        <v>-83.695306500000001</v>
      </c>
      <c r="W53" s="43" t="s">
        <v>1717</v>
      </c>
    </row>
    <row r="54" spans="2:23" ht="15.6" customHeight="1">
      <c r="B54" s="8">
        <v>2794</v>
      </c>
      <c r="C54" s="16" t="str">
        <f t="shared" si="0"/>
        <v>2794-3537</v>
      </c>
      <c r="D54" s="11">
        <v>24013537</v>
      </c>
      <c r="E54" s="8" t="str">
        <f t="shared" si="1"/>
        <v>2794 - 3537</v>
      </c>
      <c r="F54" s="12" t="s">
        <v>545</v>
      </c>
      <c r="G54" s="10">
        <v>23.1</v>
      </c>
      <c r="H54" s="8">
        <v>1</v>
      </c>
      <c r="I54" s="13">
        <v>1857</v>
      </c>
      <c r="J54" s="12" t="s">
        <v>50</v>
      </c>
      <c r="K54" s="8">
        <v>7101505202</v>
      </c>
      <c r="L54" s="8">
        <v>56010907559</v>
      </c>
      <c r="M54" s="12" t="s">
        <v>488</v>
      </c>
      <c r="N54" s="8" t="s">
        <v>486</v>
      </c>
      <c r="O54" s="11" t="str">
        <f t="shared" si="2"/>
        <v>53746521</v>
      </c>
      <c r="P54" s="11" t="str">
        <f t="shared" si="3"/>
        <v>53746521</v>
      </c>
      <c r="Q54" s="12" t="s">
        <v>990</v>
      </c>
      <c r="R54" s="8">
        <v>2</v>
      </c>
      <c r="S54" s="8" t="s">
        <v>966</v>
      </c>
      <c r="T54" s="8" t="s">
        <v>202</v>
      </c>
      <c r="U54" s="28">
        <f>VLOOKUP($L54,Tabla1[#All],4,FALSE)</f>
        <v>22.417408600000002</v>
      </c>
      <c r="V54" s="28">
        <f>VLOOKUP($L54,Tabla1[#All],5,FALSE)</f>
        <v>-83.695306500000001</v>
      </c>
      <c r="W54" s="43" t="s">
        <v>1717</v>
      </c>
    </row>
    <row r="55" spans="2:23" ht="15.6" customHeight="1">
      <c r="B55" s="8">
        <v>2783</v>
      </c>
      <c r="C55" s="16" t="str">
        <f t="shared" si="0"/>
        <v>2783-3369</v>
      </c>
      <c r="D55" s="8">
        <v>24013369</v>
      </c>
      <c r="E55" s="8" t="str">
        <f t="shared" si="1"/>
        <v>2783 - 3369</v>
      </c>
      <c r="F55" s="12" t="s">
        <v>735</v>
      </c>
      <c r="G55" s="10">
        <v>10.7</v>
      </c>
      <c r="H55" s="8">
        <v>1</v>
      </c>
      <c r="I55" s="13">
        <v>867.9</v>
      </c>
      <c r="J55" s="12" t="s">
        <v>50</v>
      </c>
      <c r="K55" s="8">
        <v>7101505202</v>
      </c>
      <c r="L55" s="8">
        <v>56030808490</v>
      </c>
      <c r="M55" s="12" t="s">
        <v>736</v>
      </c>
      <c r="N55" s="8" t="s">
        <v>737</v>
      </c>
      <c r="O55" s="11" t="str">
        <f t="shared" si="2"/>
        <v>55633296</v>
      </c>
      <c r="P55" s="11" t="str">
        <f t="shared" si="3"/>
        <v>55633296</v>
      </c>
      <c r="Q55" s="12" t="s">
        <v>1011</v>
      </c>
      <c r="R55" s="8">
        <v>2</v>
      </c>
      <c r="S55" s="8" t="s">
        <v>997</v>
      </c>
      <c r="T55" s="8" t="s">
        <v>1012</v>
      </c>
      <c r="U55" s="28">
        <f>VLOOKUP($L55,Tabla1[#All],4,FALSE)</f>
        <v>20.152798000000001</v>
      </c>
      <c r="V55" s="28">
        <f>VLOOKUP($L55,Tabla1[#All],5,FALSE)</f>
        <v>-75.210156999999995</v>
      </c>
      <c r="W55" s="43" t="s">
        <v>1717</v>
      </c>
    </row>
    <row r="56" spans="2:23" ht="15.6" customHeight="1">
      <c r="B56" s="8">
        <v>2783</v>
      </c>
      <c r="C56" s="16" t="str">
        <f t="shared" si="0"/>
        <v>2783-3354</v>
      </c>
      <c r="D56" s="8">
        <v>24013354</v>
      </c>
      <c r="E56" s="8" t="str">
        <f t="shared" si="1"/>
        <v>2783 - 3354</v>
      </c>
      <c r="F56" s="12" t="s">
        <v>694</v>
      </c>
      <c r="G56" s="10">
        <v>10.6</v>
      </c>
      <c r="H56" s="8">
        <v>1</v>
      </c>
      <c r="I56" s="13">
        <v>852.15</v>
      </c>
      <c r="J56" s="12" t="s">
        <v>50</v>
      </c>
      <c r="K56" s="8">
        <v>7101505202</v>
      </c>
      <c r="L56" s="8">
        <v>56031703114</v>
      </c>
      <c r="M56" s="12" t="s">
        <v>695</v>
      </c>
      <c r="N56" s="8" t="s">
        <v>696</v>
      </c>
      <c r="O56" s="11" t="str">
        <f t="shared" si="2"/>
        <v>54351764</v>
      </c>
      <c r="P56" s="11" t="str">
        <f t="shared" si="3"/>
        <v>54351764</v>
      </c>
      <c r="Q56" s="12" t="s">
        <v>1058</v>
      </c>
      <c r="R56" s="8">
        <v>2</v>
      </c>
      <c r="S56" s="8" t="s">
        <v>1043</v>
      </c>
      <c r="T56" s="8" t="s">
        <v>211</v>
      </c>
      <c r="U56" s="28">
        <f>VLOOKUP($L56,Tabla1[#All],4,FALSE)</f>
        <v>22.468205999999999</v>
      </c>
      <c r="V56" s="28">
        <f>VLOOKUP($L56,Tabla1[#All],5,FALSE)</f>
        <v>-79.720050999999998</v>
      </c>
      <c r="W56" s="43" t="s">
        <v>1718</v>
      </c>
    </row>
    <row r="57" spans="2:23" ht="15.6" customHeight="1">
      <c r="B57" s="8">
        <v>2783</v>
      </c>
      <c r="C57" s="16" t="str">
        <f t="shared" si="0"/>
        <v>2783-3355</v>
      </c>
      <c r="D57" s="8">
        <v>24013355</v>
      </c>
      <c r="E57" s="8" t="str">
        <f t="shared" si="1"/>
        <v>2783 - 3355</v>
      </c>
      <c r="F57" s="12" t="s">
        <v>694</v>
      </c>
      <c r="G57" s="10">
        <v>29.4</v>
      </c>
      <c r="H57" s="8">
        <v>1</v>
      </c>
      <c r="I57" s="13">
        <v>2356.8000000000002</v>
      </c>
      <c r="J57" s="12" t="s">
        <v>50</v>
      </c>
      <c r="K57" s="8">
        <v>7101505202</v>
      </c>
      <c r="L57" s="8">
        <v>56031703114</v>
      </c>
      <c r="M57" s="12" t="s">
        <v>695</v>
      </c>
      <c r="N57" s="8" t="s">
        <v>696</v>
      </c>
      <c r="O57" s="11" t="str">
        <f t="shared" si="2"/>
        <v>54351764</v>
      </c>
      <c r="P57" s="11" t="str">
        <f t="shared" si="3"/>
        <v>54351764</v>
      </c>
      <c r="Q57" s="12" t="s">
        <v>1058</v>
      </c>
      <c r="R57" s="8">
        <v>2</v>
      </c>
      <c r="S57" s="8" t="s">
        <v>1043</v>
      </c>
      <c r="T57" s="8" t="s">
        <v>211</v>
      </c>
      <c r="U57" s="28">
        <f>VLOOKUP($L57,Tabla1[#All],4,FALSE)</f>
        <v>22.468205999999999</v>
      </c>
      <c r="V57" s="28">
        <f>VLOOKUP($L57,Tabla1[#All],5,FALSE)</f>
        <v>-79.720050999999998</v>
      </c>
      <c r="W57" s="43" t="s">
        <v>1718</v>
      </c>
    </row>
    <row r="58" spans="2:23" ht="15.6" customHeight="1">
      <c r="B58" s="8">
        <v>2864</v>
      </c>
      <c r="C58" s="16" t="str">
        <f t="shared" si="0"/>
        <v>2864-3651</v>
      </c>
      <c r="D58" s="8">
        <v>24013651</v>
      </c>
      <c r="E58" s="8" t="str">
        <f t="shared" si="1"/>
        <v>2864 - 3651</v>
      </c>
      <c r="F58" s="9" t="s">
        <v>133</v>
      </c>
      <c r="G58" s="46">
        <v>19.84</v>
      </c>
      <c r="H58" s="11">
        <v>1</v>
      </c>
      <c r="I58" s="13">
        <v>1350.9</v>
      </c>
      <c r="J58" s="12" t="s">
        <v>134</v>
      </c>
      <c r="K58" s="11">
        <v>71072105384</v>
      </c>
      <c r="L58" s="11">
        <v>56070327280</v>
      </c>
      <c r="M58" s="12" t="s">
        <v>135</v>
      </c>
      <c r="N58" s="8" t="s">
        <v>136</v>
      </c>
      <c r="O58" s="11" t="str">
        <f t="shared" si="2"/>
        <v>55037066</v>
      </c>
      <c r="P58" s="11" t="str">
        <f t="shared" si="3"/>
        <v>55037066</v>
      </c>
      <c r="Q58" s="12" t="s">
        <v>903</v>
      </c>
      <c r="R58" s="8">
        <v>2</v>
      </c>
      <c r="S58" s="8" t="s">
        <v>846</v>
      </c>
      <c r="T58" s="8" t="s">
        <v>104</v>
      </c>
      <c r="U58" s="28">
        <f>VLOOKUP($L58,Tabla1[#All],4,FALSE)</f>
        <v>23.149471999999999</v>
      </c>
      <c r="V58" s="28">
        <f>VLOOKUP($L58,Tabla1[#All],5,FALSE)</f>
        <v>-82.301158000000001</v>
      </c>
      <c r="W58" s="43" t="s">
        <v>1717</v>
      </c>
    </row>
    <row r="59" spans="2:23" ht="15.6" customHeight="1">
      <c r="B59" s="8">
        <v>2864</v>
      </c>
      <c r="C59" s="16" t="str">
        <f t="shared" si="0"/>
        <v>2864-3652</v>
      </c>
      <c r="D59" s="8">
        <v>24013652</v>
      </c>
      <c r="E59" s="8" t="str">
        <f t="shared" si="1"/>
        <v>2864 - 3652</v>
      </c>
      <c r="F59" s="9" t="s">
        <v>133</v>
      </c>
      <c r="G59" s="46">
        <v>19.48</v>
      </c>
      <c r="H59" s="11">
        <v>1</v>
      </c>
      <c r="I59" s="13">
        <v>295</v>
      </c>
      <c r="J59" s="12" t="s">
        <v>134</v>
      </c>
      <c r="K59" s="11">
        <v>71072105384</v>
      </c>
      <c r="L59" s="11">
        <v>56070327280</v>
      </c>
      <c r="M59" s="12" t="s">
        <v>135</v>
      </c>
      <c r="N59" s="8" t="s">
        <v>136</v>
      </c>
      <c r="O59" s="11" t="str">
        <f t="shared" si="2"/>
        <v>55037066</v>
      </c>
      <c r="P59" s="11" t="str">
        <f t="shared" si="3"/>
        <v>55037066</v>
      </c>
      <c r="Q59" s="12" t="s">
        <v>903</v>
      </c>
      <c r="R59" s="8">
        <v>2</v>
      </c>
      <c r="S59" s="8" t="s">
        <v>846</v>
      </c>
      <c r="T59" s="8" t="s">
        <v>104</v>
      </c>
      <c r="U59" s="28">
        <f>VLOOKUP($L59,Tabla1[#All],4,FALSE)</f>
        <v>23.149471999999999</v>
      </c>
      <c r="V59" s="28">
        <f>VLOOKUP($L59,Tabla1[#All],5,FALSE)</f>
        <v>-82.301158000000001</v>
      </c>
      <c r="W59" s="43" t="s">
        <v>1717</v>
      </c>
    </row>
    <row r="60" spans="2:23" ht="15.6" customHeight="1">
      <c r="B60" s="8">
        <v>2794</v>
      </c>
      <c r="C60" s="16" t="str">
        <f t="shared" si="0"/>
        <v>2794-3518</v>
      </c>
      <c r="D60" s="11">
        <v>24013518</v>
      </c>
      <c r="E60" s="8" t="str">
        <f t="shared" si="1"/>
        <v>2794 - 3518</v>
      </c>
      <c r="F60" s="12" t="s">
        <v>557</v>
      </c>
      <c r="G60" s="10">
        <v>21.9</v>
      </c>
      <c r="H60" s="8">
        <v>1</v>
      </c>
      <c r="I60" s="13">
        <v>1781.4</v>
      </c>
      <c r="J60" s="12" t="s">
        <v>50</v>
      </c>
      <c r="K60" s="8">
        <v>7101505202</v>
      </c>
      <c r="L60" s="8">
        <v>56090100713</v>
      </c>
      <c r="M60" s="12" t="s">
        <v>457</v>
      </c>
      <c r="N60" s="8" t="s">
        <v>458</v>
      </c>
      <c r="O60" s="11" t="str">
        <f t="shared" si="2"/>
        <v>50239494</v>
      </c>
      <c r="P60" s="11" t="str">
        <f t="shared" si="3"/>
        <v>50239494</v>
      </c>
      <c r="Q60" s="12" t="s">
        <v>1017</v>
      </c>
      <c r="R60" s="8">
        <v>2</v>
      </c>
      <c r="S60" s="8" t="s">
        <v>997</v>
      </c>
      <c r="T60" s="8" t="s">
        <v>1012</v>
      </c>
      <c r="U60" s="28">
        <f>VLOOKUP($L60,Tabla1[#All],4,FALSE)</f>
        <v>20.164453000000002</v>
      </c>
      <c r="V60" s="28">
        <f>VLOOKUP($L60,Tabla1[#All],5,FALSE)</f>
        <v>-75.214538000000005</v>
      </c>
      <c r="W60" s="43" t="s">
        <v>1717</v>
      </c>
    </row>
    <row r="61" spans="2:23" ht="15.6" customHeight="1">
      <c r="B61" s="8">
        <v>2794</v>
      </c>
      <c r="C61" s="16" t="str">
        <f t="shared" si="0"/>
        <v>2794-3513</v>
      </c>
      <c r="D61" s="11">
        <v>24013513</v>
      </c>
      <c r="E61" s="8" t="str">
        <f t="shared" si="1"/>
        <v>2794 - 3513</v>
      </c>
      <c r="F61" s="12" t="s">
        <v>446</v>
      </c>
      <c r="G61" s="33">
        <v>19.22</v>
      </c>
      <c r="H61" s="8">
        <v>1</v>
      </c>
      <c r="I61" s="13">
        <v>1502.1</v>
      </c>
      <c r="J61" s="12" t="s">
        <v>50</v>
      </c>
      <c r="K61" s="8">
        <v>7101505202</v>
      </c>
      <c r="L61" s="8">
        <v>56111308717</v>
      </c>
      <c r="M61" s="12" t="s">
        <v>447</v>
      </c>
      <c r="N61" s="8" t="s">
        <v>448</v>
      </c>
      <c r="O61" s="11" t="str">
        <f t="shared" si="2"/>
        <v>54389394</v>
      </c>
      <c r="P61" s="11" t="str">
        <f t="shared" si="3"/>
        <v>54389394</v>
      </c>
      <c r="Q61" s="12" t="s">
        <v>888</v>
      </c>
      <c r="R61" s="8">
        <v>2</v>
      </c>
      <c r="S61" s="8" t="s">
        <v>838</v>
      </c>
      <c r="T61" s="8" t="s">
        <v>104</v>
      </c>
      <c r="U61" s="28">
        <f>VLOOKUP($L61,Tabla1[#All],4,FALSE)</f>
        <v>23.112145000000002</v>
      </c>
      <c r="V61" s="28">
        <f>VLOOKUP($L61,Tabla1[#All],5,FALSE)</f>
        <v>-82.356266000000005</v>
      </c>
      <c r="W61" s="43" t="s">
        <v>1717</v>
      </c>
    </row>
    <row r="62" spans="2:23" ht="15.6" customHeight="1">
      <c r="B62" s="8">
        <v>2864</v>
      </c>
      <c r="C62" s="16" t="str">
        <f t="shared" si="0"/>
        <v>2864-3587</v>
      </c>
      <c r="D62" s="8">
        <v>24013587</v>
      </c>
      <c r="E62" s="8" t="str">
        <f t="shared" si="1"/>
        <v>2864 - 3587</v>
      </c>
      <c r="F62" s="9" t="s">
        <v>181</v>
      </c>
      <c r="G62" s="10">
        <v>17</v>
      </c>
      <c r="H62" s="11">
        <v>1</v>
      </c>
      <c r="I62" s="13">
        <v>1350.9</v>
      </c>
      <c r="J62" s="12" t="s">
        <v>50</v>
      </c>
      <c r="K62" s="11">
        <v>7101505202</v>
      </c>
      <c r="L62" s="11">
        <v>57050500134</v>
      </c>
      <c r="M62" s="12" t="s">
        <v>187</v>
      </c>
      <c r="N62" s="8" t="s">
        <v>183</v>
      </c>
      <c r="O62" s="11" t="str">
        <f t="shared" si="2"/>
        <v>52582655</v>
      </c>
      <c r="P62" s="11" t="str">
        <f t="shared" si="3"/>
        <v>52582655</v>
      </c>
      <c r="Q62" s="12" t="s">
        <v>1087</v>
      </c>
      <c r="R62" s="8">
        <v>2</v>
      </c>
      <c r="S62" s="8" t="s">
        <v>1085</v>
      </c>
      <c r="T62" s="8" t="s">
        <v>185</v>
      </c>
      <c r="U62" s="28">
        <f>VLOOKUP($L62,Tabla1[#All],4,FALSE)</f>
        <v>23.029105999999999</v>
      </c>
      <c r="V62" s="28">
        <f>VLOOKUP($L62,Tabla1[#All],5,FALSE)</f>
        <v>-81.193574999999996</v>
      </c>
      <c r="W62" s="43" t="s">
        <v>1718</v>
      </c>
    </row>
    <row r="63" spans="2:23" ht="15.6" customHeight="1">
      <c r="B63" s="8">
        <v>2864</v>
      </c>
      <c r="C63" s="16" t="str">
        <f t="shared" si="0"/>
        <v>2864-3622</v>
      </c>
      <c r="D63" s="8">
        <v>24013622</v>
      </c>
      <c r="E63" s="8" t="str">
        <f t="shared" si="1"/>
        <v>2864 - 3622</v>
      </c>
      <c r="F63" s="9" t="s">
        <v>33</v>
      </c>
      <c r="G63" s="10">
        <v>33.200000000000003</v>
      </c>
      <c r="H63" s="11">
        <v>1</v>
      </c>
      <c r="I63" s="13">
        <v>2613</v>
      </c>
      <c r="J63" s="12" t="s">
        <v>218</v>
      </c>
      <c r="K63" s="11">
        <v>71072105384</v>
      </c>
      <c r="L63" s="11">
        <v>57072902962</v>
      </c>
      <c r="M63" s="12" t="s">
        <v>219</v>
      </c>
      <c r="N63" s="8" t="s">
        <v>220</v>
      </c>
      <c r="O63" s="11" t="str">
        <f t="shared" si="2"/>
        <v>54808913</v>
      </c>
      <c r="P63" s="11" t="str">
        <f t="shared" si="3"/>
        <v>54808913</v>
      </c>
      <c r="Q63" s="12" t="s">
        <v>1033</v>
      </c>
      <c r="R63" s="8">
        <v>2</v>
      </c>
      <c r="S63" s="8" t="s">
        <v>994</v>
      </c>
      <c r="T63" s="8" t="s">
        <v>79</v>
      </c>
      <c r="U63" s="28">
        <f>VLOOKUP($L63,Tabla1[#All],4,FALSE)</f>
        <v>20.028635999999999</v>
      </c>
      <c r="V63" s="28">
        <f>VLOOKUP($L63,Tabla1[#All],5,FALSE)</f>
        <v>-75.821949000000004</v>
      </c>
      <c r="W63" s="43" t="s">
        <v>1717</v>
      </c>
    </row>
    <row r="64" spans="2:23" ht="15.6" customHeight="1">
      <c r="B64" s="8">
        <v>2864</v>
      </c>
      <c r="C64" s="16" t="str">
        <f t="shared" si="0"/>
        <v>2864-3648</v>
      </c>
      <c r="D64" s="8">
        <v>24013648</v>
      </c>
      <c r="E64" s="8" t="str">
        <f t="shared" si="1"/>
        <v>2864 - 3648</v>
      </c>
      <c r="F64" s="9" t="s">
        <v>189</v>
      </c>
      <c r="G64" s="10">
        <v>2.6</v>
      </c>
      <c r="H64" s="11">
        <v>1</v>
      </c>
      <c r="I64" s="13">
        <v>295</v>
      </c>
      <c r="J64" s="12" t="s">
        <v>1200</v>
      </c>
      <c r="K64" s="11">
        <v>71072105384</v>
      </c>
      <c r="L64" s="11">
        <v>57101900045</v>
      </c>
      <c r="M64" s="12" t="s">
        <v>191</v>
      </c>
      <c r="N64" s="8" t="s">
        <v>192</v>
      </c>
      <c r="O64" s="11" t="str">
        <f t="shared" si="2"/>
        <v>45525618</v>
      </c>
      <c r="P64" s="11" t="str">
        <f t="shared" si="3"/>
        <v>52784298</v>
      </c>
      <c r="Q64" s="12" t="s">
        <v>1088</v>
      </c>
      <c r="R64" s="8">
        <v>2</v>
      </c>
      <c r="S64" s="8" t="s">
        <v>1085</v>
      </c>
      <c r="T64" s="8" t="s">
        <v>185</v>
      </c>
      <c r="U64" s="28">
        <f>VLOOKUP($L64,Tabla1[#All],4,FALSE)</f>
        <v>23.030474000000002</v>
      </c>
      <c r="V64" s="28">
        <f>VLOOKUP($L64,Tabla1[#All],5,FALSE)</f>
        <v>-81.216130000000007</v>
      </c>
      <c r="W64" s="43" t="s">
        <v>1718</v>
      </c>
    </row>
    <row r="65" spans="2:23" ht="15.6" customHeight="1">
      <c r="B65" s="8">
        <v>2783</v>
      </c>
      <c r="C65" s="16" t="str">
        <f t="shared" si="0"/>
        <v>2783-3322</v>
      </c>
      <c r="D65" s="8">
        <v>24013322</v>
      </c>
      <c r="E65" s="8" t="str">
        <f t="shared" si="1"/>
        <v>2783 - 3322</v>
      </c>
      <c r="F65" s="12" t="s">
        <v>626</v>
      </c>
      <c r="G65" s="10">
        <v>17</v>
      </c>
      <c r="H65" s="8">
        <v>1</v>
      </c>
      <c r="I65" s="13">
        <v>1577.7</v>
      </c>
      <c r="J65" s="12" t="s">
        <v>50</v>
      </c>
      <c r="K65" s="8">
        <v>7101505202</v>
      </c>
      <c r="L65" s="8">
        <v>58040910124</v>
      </c>
      <c r="M65" s="12" t="s">
        <v>629</v>
      </c>
      <c r="N65" s="8" t="s">
        <v>630</v>
      </c>
      <c r="O65" s="11" t="str">
        <f t="shared" si="2"/>
        <v>53684257</v>
      </c>
      <c r="P65" s="11" t="str">
        <f t="shared" si="3"/>
        <v>53684257</v>
      </c>
      <c r="Q65" s="12" t="s">
        <v>1004</v>
      </c>
      <c r="R65" s="8">
        <v>2</v>
      </c>
      <c r="S65" s="8" t="s">
        <v>995</v>
      </c>
      <c r="T65" s="8" t="s">
        <v>79</v>
      </c>
      <c r="U65" s="28">
        <f>VLOOKUP($L65,Tabla1[#All],4,FALSE)</f>
        <v>20.23648</v>
      </c>
      <c r="V65" s="28">
        <f>VLOOKUP($L65,Tabla1[#All],5,FALSE)</f>
        <v>-76.000232999999994</v>
      </c>
      <c r="W65" s="43" t="s">
        <v>1717</v>
      </c>
    </row>
    <row r="66" spans="2:23" ht="15.6" customHeight="1">
      <c r="B66" s="8">
        <v>2794</v>
      </c>
      <c r="C66" s="16" t="str">
        <f t="shared" si="0"/>
        <v>2794-3495</v>
      </c>
      <c r="D66" s="11">
        <v>24013495</v>
      </c>
      <c r="E66" s="8" t="str">
        <f t="shared" si="1"/>
        <v>2794 - 3495</v>
      </c>
      <c r="F66" s="12" t="s">
        <v>416</v>
      </c>
      <c r="G66" s="55">
        <v>11.7</v>
      </c>
      <c r="H66" s="8">
        <v>1</v>
      </c>
      <c r="I66" s="13">
        <v>972.9</v>
      </c>
      <c r="J66" s="12" t="s">
        <v>50</v>
      </c>
      <c r="K66" s="8">
        <v>7101505202</v>
      </c>
      <c r="L66" s="8">
        <v>58071404481</v>
      </c>
      <c r="M66" s="12" t="s">
        <v>322</v>
      </c>
      <c r="N66" s="8" t="s">
        <v>323</v>
      </c>
      <c r="O66" s="11" t="str">
        <f t="shared" si="2"/>
        <v>52549328</v>
      </c>
      <c r="P66" s="11" t="str">
        <f t="shared" si="3"/>
        <v>52549328</v>
      </c>
      <c r="Q66" s="12" t="s">
        <v>989</v>
      </c>
      <c r="R66" s="8">
        <v>2</v>
      </c>
      <c r="S66" s="8" t="s">
        <v>966</v>
      </c>
      <c r="T66" s="8" t="s">
        <v>202</v>
      </c>
      <c r="U66" s="28">
        <f>VLOOKUP($L66,Tabla1[#All],4,FALSE)</f>
        <v>22.425806999999999</v>
      </c>
      <c r="V66" s="28">
        <f>VLOOKUP($L66,Tabla1[#All],5,FALSE)</f>
        <v>-83.680198000000004</v>
      </c>
      <c r="W66" s="43" t="s">
        <v>1717</v>
      </c>
    </row>
    <row r="67" spans="2:23" ht="15.6" customHeight="1">
      <c r="B67" s="8">
        <v>2794</v>
      </c>
      <c r="C67" s="16" t="str">
        <f t="shared" ref="C67:C130" si="4">CONCATENATE(B67,"-",RIGHT(D67,4))</f>
        <v>2794-3496</v>
      </c>
      <c r="D67" s="11">
        <v>24013496</v>
      </c>
      <c r="E67" s="8" t="str">
        <f t="shared" ref="E67:E130" si="5">CONCATENATE(B67," - ",RIGHT(D67,4))</f>
        <v>2794 - 3496</v>
      </c>
      <c r="F67" s="12" t="s">
        <v>569</v>
      </c>
      <c r="G67" s="55">
        <v>16.5</v>
      </c>
      <c r="H67" s="8">
        <v>1</v>
      </c>
      <c r="I67" s="13">
        <v>1350.9</v>
      </c>
      <c r="J67" s="12" t="s">
        <v>50</v>
      </c>
      <c r="K67" s="8">
        <v>7101505202</v>
      </c>
      <c r="L67" s="8">
        <v>58071404481</v>
      </c>
      <c r="M67" s="12" t="s">
        <v>322</v>
      </c>
      <c r="N67" s="8" t="s">
        <v>323</v>
      </c>
      <c r="O67" s="11" t="str">
        <f t="shared" ref="O67:O130" si="6">LEFT(N67,8)</f>
        <v>52549328</v>
      </c>
      <c r="P67" s="11" t="str">
        <f t="shared" ref="P67:P130" si="7">RIGHT(N67,8)</f>
        <v>52549328</v>
      </c>
      <c r="Q67" s="12" t="s">
        <v>989</v>
      </c>
      <c r="R67" s="8">
        <v>2</v>
      </c>
      <c r="S67" s="8" t="s">
        <v>966</v>
      </c>
      <c r="T67" s="8" t="s">
        <v>202</v>
      </c>
      <c r="U67" s="28">
        <f>VLOOKUP($L67,Tabla1[#All],4,FALSE)</f>
        <v>22.425806999999999</v>
      </c>
      <c r="V67" s="28">
        <f>VLOOKUP($L67,Tabla1[#All],5,FALSE)</f>
        <v>-83.680198000000004</v>
      </c>
      <c r="W67" s="43" t="s">
        <v>1717</v>
      </c>
    </row>
    <row r="68" spans="2:23" ht="15.6" customHeight="1">
      <c r="B68" s="56">
        <v>2794</v>
      </c>
      <c r="C68" s="16" t="str">
        <f t="shared" si="4"/>
        <v>2794-3445</v>
      </c>
      <c r="D68" s="57">
        <v>24013445</v>
      </c>
      <c r="E68" s="8" t="str">
        <f t="shared" si="5"/>
        <v>2794 - 3445</v>
      </c>
      <c r="F68" s="58" t="s">
        <v>321</v>
      </c>
      <c r="G68" s="46">
        <v>11.3</v>
      </c>
      <c r="H68" s="56">
        <v>1</v>
      </c>
      <c r="I68" s="59">
        <v>897.3</v>
      </c>
      <c r="J68" s="12" t="s">
        <v>50</v>
      </c>
      <c r="K68" s="8">
        <v>7101505202</v>
      </c>
      <c r="L68" s="8">
        <v>58071404481</v>
      </c>
      <c r="M68" s="58" t="s">
        <v>1698</v>
      </c>
      <c r="N68" s="56" t="s">
        <v>1700</v>
      </c>
      <c r="O68" s="57" t="str">
        <f t="shared" si="6"/>
        <v>56171981</v>
      </c>
      <c r="P68" s="57" t="str">
        <f t="shared" si="7"/>
        <v>56171981</v>
      </c>
      <c r="Q68" s="58" t="s">
        <v>1699</v>
      </c>
      <c r="R68" s="8">
        <v>2</v>
      </c>
      <c r="S68" s="56" t="s">
        <v>994</v>
      </c>
      <c r="T68" s="56" t="s">
        <v>79</v>
      </c>
      <c r="U68" s="60"/>
      <c r="V68" s="60"/>
      <c r="W68" s="61" t="s">
        <v>1717</v>
      </c>
    </row>
    <row r="69" spans="2:23" ht="15.6" customHeight="1">
      <c r="B69" s="56">
        <v>2794</v>
      </c>
      <c r="C69" s="16" t="str">
        <f t="shared" si="4"/>
        <v>2794-3446</v>
      </c>
      <c r="D69" s="57">
        <v>24013446</v>
      </c>
      <c r="E69" s="8" t="str">
        <f t="shared" si="5"/>
        <v>2794 - 3446</v>
      </c>
      <c r="F69" s="58" t="s">
        <v>324</v>
      </c>
      <c r="G69" s="46">
        <v>20.3</v>
      </c>
      <c r="H69" s="56">
        <v>1</v>
      </c>
      <c r="I69" s="59">
        <v>1577.7</v>
      </c>
      <c r="J69" s="12" t="s">
        <v>50</v>
      </c>
      <c r="K69" s="8">
        <v>7101505202</v>
      </c>
      <c r="L69" s="8">
        <v>58071404481</v>
      </c>
      <c r="M69" s="58" t="s">
        <v>1698</v>
      </c>
      <c r="N69" s="56" t="s">
        <v>1700</v>
      </c>
      <c r="O69" s="57" t="str">
        <f t="shared" si="6"/>
        <v>56171981</v>
      </c>
      <c r="P69" s="57" t="str">
        <f t="shared" si="7"/>
        <v>56171981</v>
      </c>
      <c r="Q69" s="58" t="s">
        <v>1699</v>
      </c>
      <c r="R69" s="8">
        <v>2</v>
      </c>
      <c r="S69" s="56" t="s">
        <v>994</v>
      </c>
      <c r="T69" s="56" t="s">
        <v>79</v>
      </c>
      <c r="U69" s="60"/>
      <c r="V69" s="60"/>
      <c r="W69" s="61" t="s">
        <v>1717</v>
      </c>
    </row>
    <row r="70" spans="2:23" ht="15.6" customHeight="1">
      <c r="B70" s="56">
        <v>2783</v>
      </c>
      <c r="C70" s="16" t="str">
        <f t="shared" si="4"/>
        <v>2783-3345</v>
      </c>
      <c r="D70" s="56">
        <v>24013345</v>
      </c>
      <c r="E70" s="8" t="str">
        <f t="shared" si="5"/>
        <v>2783 - 3345</v>
      </c>
      <c r="F70" s="58" t="s">
        <v>390</v>
      </c>
      <c r="G70" s="46">
        <v>19.600000000000001</v>
      </c>
      <c r="H70" s="56">
        <v>1</v>
      </c>
      <c r="I70" s="59">
        <v>295</v>
      </c>
      <c r="J70" s="12" t="s">
        <v>50</v>
      </c>
      <c r="K70" s="8">
        <v>7101505202</v>
      </c>
      <c r="L70" s="8">
        <v>58071404481</v>
      </c>
      <c r="M70" s="58" t="s">
        <v>1701</v>
      </c>
      <c r="N70" s="56" t="s">
        <v>672</v>
      </c>
      <c r="O70" s="57" t="str">
        <f t="shared" si="6"/>
        <v>58510246</v>
      </c>
      <c r="P70" s="57" t="str">
        <f t="shared" si="7"/>
        <v>58510246</v>
      </c>
      <c r="Q70" s="58" t="s">
        <v>1702</v>
      </c>
      <c r="R70" s="8">
        <v>2</v>
      </c>
      <c r="S70" s="56" t="s">
        <v>1042</v>
      </c>
      <c r="T70" s="56" t="s">
        <v>211</v>
      </c>
      <c r="U70" s="60"/>
      <c r="V70" s="60"/>
      <c r="W70" s="61" t="s">
        <v>1718</v>
      </c>
    </row>
    <row r="71" spans="2:23" ht="15.6" customHeight="1">
      <c r="B71" s="56">
        <v>2783</v>
      </c>
      <c r="C71" s="16" t="str">
        <f t="shared" si="4"/>
        <v>2783-3346</v>
      </c>
      <c r="D71" s="56">
        <v>24013346</v>
      </c>
      <c r="E71" s="8" t="str">
        <f t="shared" si="5"/>
        <v>2783 - 3346</v>
      </c>
      <c r="F71" s="58" t="s">
        <v>390</v>
      </c>
      <c r="G71" s="46">
        <v>14.2</v>
      </c>
      <c r="H71" s="56">
        <v>1</v>
      </c>
      <c r="I71" s="59">
        <v>1124.0999999999999</v>
      </c>
      <c r="J71" s="12" t="s">
        <v>50</v>
      </c>
      <c r="K71" s="8">
        <v>7101505202</v>
      </c>
      <c r="L71" s="8">
        <v>58071404481</v>
      </c>
      <c r="M71" s="58" t="s">
        <v>1701</v>
      </c>
      <c r="N71" s="56" t="s">
        <v>672</v>
      </c>
      <c r="O71" s="57" t="str">
        <f t="shared" si="6"/>
        <v>58510246</v>
      </c>
      <c r="P71" s="57" t="str">
        <f t="shared" si="7"/>
        <v>58510246</v>
      </c>
      <c r="Q71" s="58" t="s">
        <v>1702</v>
      </c>
      <c r="R71" s="8">
        <v>2</v>
      </c>
      <c r="S71" s="56" t="s">
        <v>1042</v>
      </c>
      <c r="T71" s="56" t="s">
        <v>211</v>
      </c>
      <c r="U71" s="60"/>
      <c r="V71" s="60"/>
      <c r="W71" s="61" t="s">
        <v>1718</v>
      </c>
    </row>
    <row r="72" spans="2:23" ht="15.6" customHeight="1">
      <c r="B72" s="8">
        <v>2864</v>
      </c>
      <c r="C72" s="16" t="str">
        <f t="shared" si="4"/>
        <v>2864-3585</v>
      </c>
      <c r="D72" s="8">
        <v>24013585</v>
      </c>
      <c r="E72" s="8" t="str">
        <f t="shared" si="5"/>
        <v>2864 - 3585</v>
      </c>
      <c r="F72" s="9" t="s">
        <v>181</v>
      </c>
      <c r="G72" s="10">
        <v>16.100000000000001</v>
      </c>
      <c r="H72" s="11">
        <v>1</v>
      </c>
      <c r="I72" s="13">
        <v>1275.3</v>
      </c>
      <c r="J72" s="12" t="s">
        <v>50</v>
      </c>
      <c r="K72" s="11">
        <v>7101505202</v>
      </c>
      <c r="L72" s="11">
        <v>58091007089</v>
      </c>
      <c r="M72" s="12" t="s">
        <v>182</v>
      </c>
      <c r="N72" s="8" t="s">
        <v>183</v>
      </c>
      <c r="O72" s="11" t="str">
        <f t="shared" si="6"/>
        <v>52582655</v>
      </c>
      <c r="P72" s="11" t="str">
        <f t="shared" si="7"/>
        <v>52582655</v>
      </c>
      <c r="Q72" s="12" t="s">
        <v>1087</v>
      </c>
      <c r="R72" s="8">
        <v>2</v>
      </c>
      <c r="S72" s="8" t="s">
        <v>1085</v>
      </c>
      <c r="T72" s="8" t="s">
        <v>185</v>
      </c>
      <c r="U72" s="28">
        <f>VLOOKUP($L72,Tabla1[#All],4,FALSE)</f>
        <v>23.029105999999999</v>
      </c>
      <c r="V72" s="28">
        <f>VLOOKUP($L72,Tabla1[#All],5,FALSE)</f>
        <v>-81.193574999999996</v>
      </c>
      <c r="W72" s="43" t="s">
        <v>1718</v>
      </c>
    </row>
    <row r="73" spans="2:23" ht="15.6" customHeight="1">
      <c r="B73" s="8">
        <v>2864</v>
      </c>
      <c r="C73" s="16" t="str">
        <f t="shared" si="4"/>
        <v>2864-3586</v>
      </c>
      <c r="D73" s="8">
        <v>24013586</v>
      </c>
      <c r="E73" s="8" t="str">
        <f t="shared" si="5"/>
        <v>2864 - 3586</v>
      </c>
      <c r="F73" s="9" t="s">
        <v>186</v>
      </c>
      <c r="G73" s="10">
        <v>16.2</v>
      </c>
      <c r="H73" s="11">
        <v>1</v>
      </c>
      <c r="I73" s="13">
        <v>1275.3</v>
      </c>
      <c r="J73" s="12" t="s">
        <v>50</v>
      </c>
      <c r="K73" s="11">
        <v>7101505202</v>
      </c>
      <c r="L73" s="11">
        <v>58091007089</v>
      </c>
      <c r="M73" s="12" t="s">
        <v>182</v>
      </c>
      <c r="N73" s="8" t="s">
        <v>183</v>
      </c>
      <c r="O73" s="11" t="str">
        <f t="shared" si="6"/>
        <v>52582655</v>
      </c>
      <c r="P73" s="11" t="str">
        <f t="shared" si="7"/>
        <v>52582655</v>
      </c>
      <c r="Q73" s="12" t="s">
        <v>1087</v>
      </c>
      <c r="R73" s="8">
        <v>2</v>
      </c>
      <c r="S73" s="8" t="s">
        <v>1085</v>
      </c>
      <c r="T73" s="8" t="s">
        <v>185</v>
      </c>
      <c r="U73" s="28">
        <f>VLOOKUP($L73,Tabla1[#All],4,FALSE)</f>
        <v>23.029105999999999</v>
      </c>
      <c r="V73" s="28">
        <f>VLOOKUP($L73,Tabla1[#All],5,FALSE)</f>
        <v>-81.193574999999996</v>
      </c>
      <c r="W73" s="43" t="s">
        <v>1718</v>
      </c>
    </row>
    <row r="74" spans="2:23" ht="15.6" customHeight="1">
      <c r="B74" s="8">
        <v>2794</v>
      </c>
      <c r="C74" s="16" t="str">
        <f t="shared" si="4"/>
        <v>2794-3433</v>
      </c>
      <c r="D74" s="11">
        <v>24013433</v>
      </c>
      <c r="E74" s="8" t="str">
        <f t="shared" si="5"/>
        <v>2794 - 3433</v>
      </c>
      <c r="F74" s="12" t="s">
        <v>293</v>
      </c>
      <c r="G74" s="10">
        <v>5.6</v>
      </c>
      <c r="H74" s="8">
        <v>1</v>
      </c>
      <c r="I74" s="13">
        <v>295</v>
      </c>
      <c r="J74" s="12" t="s">
        <v>50</v>
      </c>
      <c r="K74" s="8">
        <v>7101505202</v>
      </c>
      <c r="L74" s="8">
        <v>59102304892</v>
      </c>
      <c r="M74" s="12" t="s">
        <v>294</v>
      </c>
      <c r="N74" s="8" t="s">
        <v>295</v>
      </c>
      <c r="O74" s="11" t="str">
        <f t="shared" si="6"/>
        <v>59785979</v>
      </c>
      <c r="P74" s="11" t="str">
        <f t="shared" si="7"/>
        <v>59785979</v>
      </c>
      <c r="Q74" s="12" t="s">
        <v>985</v>
      </c>
      <c r="R74" s="8">
        <v>2</v>
      </c>
      <c r="S74" s="8" t="s">
        <v>966</v>
      </c>
      <c r="T74" s="8" t="s">
        <v>202</v>
      </c>
      <c r="U74" s="28">
        <f>VLOOKUP($L74,Tabla1[#All],4,FALSE)</f>
        <v>22.402766</v>
      </c>
      <c r="V74" s="28">
        <f>VLOOKUP($L74,Tabla1[#All],5,FALSE)</f>
        <v>-83.685907999999998</v>
      </c>
      <c r="W74" s="43" t="s">
        <v>1717</v>
      </c>
    </row>
    <row r="75" spans="2:23" ht="15.6" customHeight="1">
      <c r="B75" s="8">
        <v>2794</v>
      </c>
      <c r="C75" s="16" t="str">
        <f t="shared" si="4"/>
        <v>2794-3434</v>
      </c>
      <c r="D75" s="11">
        <v>24013434</v>
      </c>
      <c r="E75" s="8" t="str">
        <f t="shared" si="5"/>
        <v>2794 - 3434</v>
      </c>
      <c r="F75" s="12" t="s">
        <v>296</v>
      </c>
      <c r="G75" s="10">
        <v>19.8</v>
      </c>
      <c r="H75" s="8">
        <v>1</v>
      </c>
      <c r="I75" s="13">
        <v>1577.7</v>
      </c>
      <c r="J75" s="12" t="s">
        <v>50</v>
      </c>
      <c r="K75" s="8">
        <v>7101505202</v>
      </c>
      <c r="L75" s="8">
        <v>59102304893</v>
      </c>
      <c r="M75" s="12" t="s">
        <v>294</v>
      </c>
      <c r="N75" s="8" t="s">
        <v>295</v>
      </c>
      <c r="O75" s="11" t="str">
        <f t="shared" si="6"/>
        <v>59785979</v>
      </c>
      <c r="P75" s="11" t="str">
        <f t="shared" si="7"/>
        <v>59785979</v>
      </c>
      <c r="Q75" s="12" t="s">
        <v>985</v>
      </c>
      <c r="R75" s="8">
        <v>2</v>
      </c>
      <c r="S75" s="8" t="s">
        <v>966</v>
      </c>
      <c r="T75" s="8" t="s">
        <v>202</v>
      </c>
      <c r="U75" s="28">
        <f>VLOOKUP($L75,Tabla1[#All],4,FALSE)</f>
        <v>22.402766</v>
      </c>
      <c r="V75" s="28">
        <f>VLOOKUP($L75,Tabla1[#All],5,FALSE)</f>
        <v>-83.685907999999998</v>
      </c>
      <c r="W75" s="43" t="s">
        <v>1717</v>
      </c>
    </row>
    <row r="76" spans="2:23" ht="15.6" customHeight="1">
      <c r="B76" s="8">
        <v>2794</v>
      </c>
      <c r="C76" s="16" t="str">
        <f t="shared" si="4"/>
        <v>2794-3435</v>
      </c>
      <c r="D76" s="11">
        <v>24013435</v>
      </c>
      <c r="E76" s="8" t="str">
        <f t="shared" si="5"/>
        <v>2794 - 3435</v>
      </c>
      <c r="F76" s="12" t="s">
        <v>297</v>
      </c>
      <c r="G76" s="10">
        <v>19.8</v>
      </c>
      <c r="H76" s="8">
        <v>1</v>
      </c>
      <c r="I76" s="13">
        <v>1577.7</v>
      </c>
      <c r="J76" s="12" t="s">
        <v>50</v>
      </c>
      <c r="K76" s="8">
        <v>7101505202</v>
      </c>
      <c r="L76" s="8">
        <v>59102304894</v>
      </c>
      <c r="M76" s="12" t="s">
        <v>294</v>
      </c>
      <c r="N76" s="8" t="s">
        <v>295</v>
      </c>
      <c r="O76" s="11" t="str">
        <f t="shared" si="6"/>
        <v>59785979</v>
      </c>
      <c r="P76" s="11" t="str">
        <f t="shared" si="7"/>
        <v>59785979</v>
      </c>
      <c r="Q76" s="12" t="s">
        <v>985</v>
      </c>
      <c r="R76" s="8">
        <v>2</v>
      </c>
      <c r="S76" s="8" t="s">
        <v>966</v>
      </c>
      <c r="T76" s="8" t="s">
        <v>202</v>
      </c>
      <c r="U76" s="28">
        <f>VLOOKUP($L76,Tabla1[#All],4,FALSE)</f>
        <v>22.402766</v>
      </c>
      <c r="V76" s="28">
        <f>VLOOKUP($L76,Tabla1[#All],5,FALSE)</f>
        <v>-83.685907999999998</v>
      </c>
      <c r="W76" s="43" t="s">
        <v>1717</v>
      </c>
    </row>
    <row r="77" spans="2:23" ht="15.6" customHeight="1">
      <c r="B77" s="8">
        <v>2794</v>
      </c>
      <c r="C77" s="16" t="str">
        <f t="shared" si="4"/>
        <v>2794-3490</v>
      </c>
      <c r="D77" s="11">
        <v>24013490</v>
      </c>
      <c r="E77" s="8" t="str">
        <f t="shared" si="5"/>
        <v>2794 - 3490</v>
      </c>
      <c r="F77" s="12" t="s">
        <v>590</v>
      </c>
      <c r="G77" s="10">
        <v>14.6</v>
      </c>
      <c r="H77" s="8">
        <v>1</v>
      </c>
      <c r="I77" s="13">
        <v>1199.7</v>
      </c>
      <c r="J77" s="12" t="s">
        <v>50</v>
      </c>
      <c r="K77" s="8">
        <v>7101505202</v>
      </c>
      <c r="L77" s="8">
        <v>59110917413</v>
      </c>
      <c r="M77" s="12" t="s">
        <v>408</v>
      </c>
      <c r="N77" s="8" t="s">
        <v>409</v>
      </c>
      <c r="O77" s="11" t="str">
        <f t="shared" si="6"/>
        <v>51793278</v>
      </c>
      <c r="P77" s="11" t="str">
        <f t="shared" si="7"/>
        <v>51793278</v>
      </c>
      <c r="Q77" s="12" t="s">
        <v>1692</v>
      </c>
      <c r="R77" s="8">
        <v>2</v>
      </c>
      <c r="S77" s="8" t="s">
        <v>1042</v>
      </c>
      <c r="T77" s="8" t="s">
        <v>211</v>
      </c>
      <c r="U77" s="28">
        <f>VLOOKUP($L77,Tabla1[#All],4,FALSE)</f>
        <v>22.412562999999999</v>
      </c>
      <c r="V77" s="28">
        <f>VLOOKUP($L77,Tabla1[#All],5,FALSE)</f>
        <v>-79.999122</v>
      </c>
      <c r="W77" s="43" t="s">
        <v>1718</v>
      </c>
    </row>
    <row r="78" spans="2:23" ht="15.6" customHeight="1">
      <c r="B78" s="8">
        <v>2864</v>
      </c>
      <c r="C78" s="16" t="str">
        <f t="shared" si="4"/>
        <v>2864-3630</v>
      </c>
      <c r="D78" s="8">
        <v>24013630</v>
      </c>
      <c r="E78" s="8" t="str">
        <f t="shared" si="5"/>
        <v>2864 - 3630</v>
      </c>
      <c r="F78" s="9" t="s">
        <v>109</v>
      </c>
      <c r="G78" s="33">
        <v>2.68</v>
      </c>
      <c r="H78" s="11">
        <v>1</v>
      </c>
      <c r="I78" s="13">
        <v>368.1</v>
      </c>
      <c r="J78" s="12" t="s">
        <v>110</v>
      </c>
      <c r="K78" s="11">
        <v>65082578945</v>
      </c>
      <c r="L78" s="11">
        <v>60011300851</v>
      </c>
      <c r="M78" s="12" t="s">
        <v>111</v>
      </c>
      <c r="N78" s="8" t="s">
        <v>112</v>
      </c>
      <c r="O78" s="11" t="str">
        <f t="shared" si="6"/>
        <v>54379616</v>
      </c>
      <c r="P78" s="11" t="str">
        <f t="shared" si="7"/>
        <v>54379616</v>
      </c>
      <c r="Q78" s="12" t="s">
        <v>876</v>
      </c>
      <c r="R78" s="8">
        <v>2</v>
      </c>
      <c r="S78" s="8" t="s">
        <v>839</v>
      </c>
      <c r="T78" s="8" t="s">
        <v>104</v>
      </c>
      <c r="U78" s="28">
        <f>VLOOKUP($L78,Tabla1[#All],4,FALSE)</f>
        <v>22.973935000000001</v>
      </c>
      <c r="V78" s="28">
        <f>VLOOKUP($L78,Tabla1[#All],5,FALSE)</f>
        <v>-82.380505999999997</v>
      </c>
      <c r="W78" s="43" t="s">
        <v>1717</v>
      </c>
    </row>
    <row r="79" spans="2:23" ht="15.6" customHeight="1">
      <c r="B79" s="8">
        <v>2783</v>
      </c>
      <c r="C79" s="16" t="str">
        <f t="shared" si="4"/>
        <v>2783-3314</v>
      </c>
      <c r="D79" s="8">
        <v>24013314</v>
      </c>
      <c r="E79" s="8" t="str">
        <f t="shared" si="5"/>
        <v>2783 - 3314</v>
      </c>
      <c r="F79" s="12" t="s">
        <v>595</v>
      </c>
      <c r="G79" s="10">
        <v>8.6</v>
      </c>
      <c r="H79" s="8">
        <v>1</v>
      </c>
      <c r="I79" s="13">
        <v>716.7</v>
      </c>
      <c r="J79" s="12" t="s">
        <v>609</v>
      </c>
      <c r="K79" s="8">
        <v>71072105384</v>
      </c>
      <c r="L79" s="8">
        <v>60081313133</v>
      </c>
      <c r="M79" s="12" t="s">
        <v>610</v>
      </c>
      <c r="N79" s="8" t="s">
        <v>611</v>
      </c>
      <c r="O79" s="11" t="str">
        <f t="shared" si="6"/>
        <v>56289237</v>
      </c>
      <c r="P79" s="11" t="str">
        <f t="shared" si="7"/>
        <v>56289237</v>
      </c>
      <c r="Q79" s="12" t="s">
        <v>1099</v>
      </c>
      <c r="R79" s="8">
        <v>2</v>
      </c>
      <c r="S79" s="8" t="s">
        <v>1083</v>
      </c>
      <c r="T79" s="8" t="s">
        <v>185</v>
      </c>
      <c r="U79" s="28">
        <f>VLOOKUP($L79,Tabla1[#All],4,FALSE)</f>
        <v>22.680681</v>
      </c>
      <c r="V79" s="28">
        <f>VLOOKUP($L79,Tabla1[#All],5,FALSE)</f>
        <v>-81.118342999999996</v>
      </c>
      <c r="W79" s="43" t="s">
        <v>1718</v>
      </c>
    </row>
    <row r="80" spans="2:23" ht="15.6" customHeight="1">
      <c r="B80" s="8">
        <v>2783</v>
      </c>
      <c r="C80" s="16" t="str">
        <f t="shared" si="4"/>
        <v>2783-3370</v>
      </c>
      <c r="D80" s="8">
        <v>24013370</v>
      </c>
      <c r="E80" s="8" t="str">
        <f t="shared" si="5"/>
        <v>2783 - 3370</v>
      </c>
      <c r="F80" s="12" t="s">
        <v>738</v>
      </c>
      <c r="G80" s="10">
        <v>14.8</v>
      </c>
      <c r="H80" s="8">
        <v>1</v>
      </c>
      <c r="I80" s="13">
        <v>1350.9</v>
      </c>
      <c r="J80" s="12" t="s">
        <v>50</v>
      </c>
      <c r="K80" s="8">
        <v>7101505202</v>
      </c>
      <c r="L80" s="8">
        <v>61020628370</v>
      </c>
      <c r="M80" s="12" t="s">
        <v>739</v>
      </c>
      <c r="N80" s="8" t="s">
        <v>740</v>
      </c>
      <c r="O80" s="11" t="str">
        <f t="shared" si="6"/>
        <v>54509482</v>
      </c>
      <c r="P80" s="11" t="str">
        <f t="shared" si="7"/>
        <v>54509482</v>
      </c>
      <c r="Q80" s="12" t="s">
        <v>974</v>
      </c>
      <c r="R80" s="8">
        <v>2</v>
      </c>
      <c r="S80" s="8" t="s">
        <v>966</v>
      </c>
      <c r="T80" s="8" t="s">
        <v>202</v>
      </c>
      <c r="U80" s="28">
        <f>VLOOKUP($L80,Tabla1[#All],4,FALSE)</f>
        <v>22.435141000000002</v>
      </c>
      <c r="V80" s="28">
        <f>VLOOKUP($L80,Tabla1[#All],5,FALSE)</f>
        <v>-83.740053000000003</v>
      </c>
      <c r="W80" s="43" t="s">
        <v>1717</v>
      </c>
    </row>
    <row r="81" spans="2:23" ht="15.6" customHeight="1">
      <c r="B81" s="8">
        <v>2794</v>
      </c>
      <c r="C81" s="16" t="str">
        <f t="shared" si="4"/>
        <v>2794-3472</v>
      </c>
      <c r="D81" s="11">
        <v>24013472</v>
      </c>
      <c r="E81" s="8" t="str">
        <f t="shared" si="5"/>
        <v>2794 - 3472</v>
      </c>
      <c r="F81" s="12" t="s">
        <v>578</v>
      </c>
      <c r="G81" s="46">
        <v>12.1</v>
      </c>
      <c r="H81" s="8">
        <v>1</v>
      </c>
      <c r="I81" s="13">
        <v>1199.7</v>
      </c>
      <c r="J81" s="12" t="s">
        <v>50</v>
      </c>
      <c r="K81" s="8">
        <v>7101505202</v>
      </c>
      <c r="L81" s="8">
        <v>61110500979</v>
      </c>
      <c r="M81" s="12" t="s">
        <v>373</v>
      </c>
      <c r="N81" s="8" t="s">
        <v>374</v>
      </c>
      <c r="O81" s="11" t="str">
        <f t="shared" si="6"/>
        <v>54414567</v>
      </c>
      <c r="P81" s="11" t="str">
        <f t="shared" si="7"/>
        <v>54414567</v>
      </c>
      <c r="Q81" s="12" t="s">
        <v>905</v>
      </c>
      <c r="R81" s="8">
        <v>2</v>
      </c>
      <c r="S81" s="8" t="s">
        <v>846</v>
      </c>
      <c r="T81" s="8" t="s">
        <v>104</v>
      </c>
      <c r="U81" s="28">
        <f>VLOOKUP($L81,Tabla1[#All],4,FALSE)</f>
        <v>23.152699999999999</v>
      </c>
      <c r="V81" s="28">
        <f>VLOOKUP($L81,Tabla1[#All],5,FALSE)</f>
        <v>-82.305841000000001</v>
      </c>
      <c r="W81" s="43" t="s">
        <v>1717</v>
      </c>
    </row>
    <row r="82" spans="2:23" ht="15.6" customHeight="1">
      <c r="B82" s="8">
        <v>2794</v>
      </c>
      <c r="C82" s="16" t="str">
        <f t="shared" si="4"/>
        <v>2794-3489</v>
      </c>
      <c r="D82" s="11">
        <v>24013489</v>
      </c>
      <c r="E82" s="8" t="str">
        <f t="shared" si="5"/>
        <v>2794 - 3489</v>
      </c>
      <c r="F82" s="12" t="s">
        <v>405</v>
      </c>
      <c r="G82" s="55">
        <v>2.9</v>
      </c>
      <c r="H82" s="8">
        <v>1</v>
      </c>
      <c r="I82" s="13">
        <v>295</v>
      </c>
      <c r="J82" s="12" t="s">
        <v>50</v>
      </c>
      <c r="K82" s="8">
        <v>7101505202</v>
      </c>
      <c r="L82" s="8">
        <v>61110805874</v>
      </c>
      <c r="M82" s="12" t="s">
        <v>406</v>
      </c>
      <c r="N82" s="8" t="s">
        <v>407</v>
      </c>
      <c r="O82" s="11" t="str">
        <f t="shared" si="6"/>
        <v>58711748</v>
      </c>
      <c r="P82" s="11" t="str">
        <f t="shared" si="7"/>
        <v>58711748</v>
      </c>
      <c r="Q82" s="12" t="s">
        <v>897</v>
      </c>
      <c r="R82" s="8">
        <v>2</v>
      </c>
      <c r="S82" s="8" t="s">
        <v>843</v>
      </c>
      <c r="T82" s="8" t="s">
        <v>104</v>
      </c>
      <c r="U82" s="28">
        <f>VLOOKUP($L82,Tabla1[#All],4,FALSE)</f>
        <v>23.079301999999998</v>
      </c>
      <c r="V82" s="28">
        <f>VLOOKUP($L82,Tabla1[#All],5,FALSE)</f>
        <v>-82.433862000000005</v>
      </c>
      <c r="W82" s="43" t="s">
        <v>1717</v>
      </c>
    </row>
    <row r="83" spans="2:23" ht="15.6" customHeight="1">
      <c r="B83" s="8">
        <v>2794</v>
      </c>
      <c r="C83" s="16" t="str">
        <f t="shared" si="4"/>
        <v>2794-3538</v>
      </c>
      <c r="D83" s="11">
        <v>24013538</v>
      </c>
      <c r="E83" s="8" t="str">
        <f t="shared" si="5"/>
        <v>2794 - 3538</v>
      </c>
      <c r="F83" s="12" t="s">
        <v>489</v>
      </c>
      <c r="G83" s="10">
        <v>14.9</v>
      </c>
      <c r="H83" s="8">
        <v>1</v>
      </c>
      <c r="I83" s="13">
        <v>1199.7</v>
      </c>
      <c r="J83" s="12" t="s">
        <v>50</v>
      </c>
      <c r="K83" s="8">
        <v>7101505202</v>
      </c>
      <c r="L83" s="8">
        <v>62010404971</v>
      </c>
      <c r="M83" s="12" t="s">
        <v>490</v>
      </c>
      <c r="N83" s="8" t="s">
        <v>491</v>
      </c>
      <c r="O83" s="11" t="str">
        <f t="shared" si="6"/>
        <v>50645236</v>
      </c>
      <c r="P83" s="11" t="str">
        <f t="shared" si="7"/>
        <v>50645236</v>
      </c>
      <c r="Q83" s="12" t="s">
        <v>990</v>
      </c>
      <c r="R83" s="8">
        <v>2</v>
      </c>
      <c r="S83" s="8" t="s">
        <v>966</v>
      </c>
      <c r="T83" s="8" t="s">
        <v>202</v>
      </c>
      <c r="U83" s="28">
        <f>VLOOKUP($L83,Tabla1[#All],4,FALSE)</f>
        <v>22.417408600000002</v>
      </c>
      <c r="V83" s="28">
        <f>VLOOKUP($L83,Tabla1[#All],5,FALSE)</f>
        <v>-83.695306500000001</v>
      </c>
      <c r="W83" s="43" t="s">
        <v>1717</v>
      </c>
    </row>
    <row r="84" spans="2:23" ht="15.6" customHeight="1">
      <c r="B84" s="8">
        <v>2794</v>
      </c>
      <c r="C84" s="16" t="str">
        <f t="shared" si="4"/>
        <v>2794-3539</v>
      </c>
      <c r="D84" s="11">
        <v>24013539</v>
      </c>
      <c r="E84" s="8" t="str">
        <f t="shared" si="5"/>
        <v>2794 - 3539</v>
      </c>
      <c r="F84" s="12" t="s">
        <v>544</v>
      </c>
      <c r="G84" s="10">
        <v>18.899999999999999</v>
      </c>
      <c r="H84" s="8">
        <v>1</v>
      </c>
      <c r="I84" s="13">
        <v>1502.1</v>
      </c>
      <c r="J84" s="12" t="s">
        <v>50</v>
      </c>
      <c r="K84" s="8">
        <v>7101505202</v>
      </c>
      <c r="L84" s="8">
        <v>62021804237</v>
      </c>
      <c r="M84" s="12" t="s">
        <v>492</v>
      </c>
      <c r="N84" s="8" t="s">
        <v>493</v>
      </c>
      <c r="O84" s="11" t="str">
        <f t="shared" si="6"/>
        <v>56269838</v>
      </c>
      <c r="P84" s="11" t="str">
        <f t="shared" si="7"/>
        <v>56269838</v>
      </c>
      <c r="Q84" s="12" t="s">
        <v>1082</v>
      </c>
      <c r="R84" s="8">
        <v>2</v>
      </c>
      <c r="S84" s="8" t="s">
        <v>1042</v>
      </c>
      <c r="T84" s="8" t="s">
        <v>211</v>
      </c>
      <c r="U84" s="28">
        <f>VLOOKUP($L84,Tabla1[#All],4,FALSE)</f>
        <v>22.392790999999999</v>
      </c>
      <c r="V84" s="28">
        <f>VLOOKUP($L84,Tabla1[#All],5,FALSE)</f>
        <v>-79.949355999999995</v>
      </c>
      <c r="W84" s="43" t="s">
        <v>1718</v>
      </c>
    </row>
    <row r="85" spans="2:23" ht="15.6" customHeight="1">
      <c r="B85" s="8">
        <v>2864</v>
      </c>
      <c r="C85" s="16" t="str">
        <f t="shared" si="4"/>
        <v>2864-3649</v>
      </c>
      <c r="D85" s="8">
        <v>24013649</v>
      </c>
      <c r="E85" s="8" t="str">
        <f t="shared" si="5"/>
        <v>2864 - 3649</v>
      </c>
      <c r="F85" s="9" t="s">
        <v>33</v>
      </c>
      <c r="G85" s="10">
        <v>16.5</v>
      </c>
      <c r="H85" s="11">
        <v>1</v>
      </c>
      <c r="I85" s="13">
        <v>1350.9</v>
      </c>
      <c r="J85" s="12" t="s">
        <v>226</v>
      </c>
      <c r="K85" s="11">
        <v>71072105384</v>
      </c>
      <c r="L85" s="11">
        <v>62032525924</v>
      </c>
      <c r="M85" s="12" t="s">
        <v>227</v>
      </c>
      <c r="N85" s="8" t="s">
        <v>228</v>
      </c>
      <c r="O85" s="11" t="str">
        <f t="shared" si="6"/>
        <v>54581083</v>
      </c>
      <c r="P85" s="11" t="str">
        <f t="shared" si="7"/>
        <v>54581083</v>
      </c>
      <c r="Q85" s="12" t="s">
        <v>1061</v>
      </c>
      <c r="R85" s="8">
        <v>2</v>
      </c>
      <c r="S85" s="8" t="s">
        <v>1050</v>
      </c>
      <c r="T85" s="8" t="s">
        <v>211</v>
      </c>
      <c r="U85" s="28">
        <f>VLOOKUP($L85,Tabla1[#All],4,FALSE)</f>
        <v>22.645755999999999</v>
      </c>
      <c r="V85" s="28">
        <f>VLOOKUP($L85,Tabla1[#All],5,FALSE)</f>
        <v>-80.046893999999995</v>
      </c>
      <c r="W85" s="43" t="s">
        <v>1718</v>
      </c>
    </row>
    <row r="86" spans="2:23" ht="15.6" customHeight="1">
      <c r="B86" s="8">
        <v>2864</v>
      </c>
      <c r="C86" s="16" t="str">
        <f t="shared" si="4"/>
        <v>2864-3628</v>
      </c>
      <c r="D86" s="8">
        <v>24013628</v>
      </c>
      <c r="E86" s="8" t="str">
        <f t="shared" si="5"/>
        <v>2864 - 3628</v>
      </c>
      <c r="F86" s="9" t="s">
        <v>33</v>
      </c>
      <c r="G86" s="55">
        <v>19.899999999999999</v>
      </c>
      <c r="H86" s="11">
        <v>1</v>
      </c>
      <c r="I86" s="13">
        <v>1577.7</v>
      </c>
      <c r="J86" s="12" t="s">
        <v>34</v>
      </c>
      <c r="K86" s="11">
        <v>65082578945</v>
      </c>
      <c r="L86" s="11">
        <v>62050600610</v>
      </c>
      <c r="M86" s="12" t="s">
        <v>35</v>
      </c>
      <c r="N86" s="8" t="s">
        <v>36</v>
      </c>
      <c r="O86" s="11" t="str">
        <f t="shared" si="6"/>
        <v>53516223</v>
      </c>
      <c r="P86" s="11" t="str">
        <f t="shared" si="7"/>
        <v>53516223</v>
      </c>
      <c r="Q86" s="12" t="s">
        <v>859</v>
      </c>
      <c r="R86" s="8">
        <v>2</v>
      </c>
      <c r="S86" s="8" t="s">
        <v>850</v>
      </c>
      <c r="T86" s="8" t="s">
        <v>31</v>
      </c>
      <c r="U86" s="28">
        <f>VLOOKUP($L86,Tabla1[#All],4,FALSE)</f>
        <v>22.815594000000001</v>
      </c>
      <c r="V86" s="28">
        <f>VLOOKUP($L86,Tabla1[#All],5,FALSE)</f>
        <v>-82.751733999999999</v>
      </c>
      <c r="W86" s="43" t="s">
        <v>1717</v>
      </c>
    </row>
    <row r="87" spans="2:23" ht="15.6" customHeight="1">
      <c r="B87" s="8">
        <v>2864</v>
      </c>
      <c r="C87" s="16" t="str">
        <f t="shared" si="4"/>
        <v>2864-3611</v>
      </c>
      <c r="D87" s="8">
        <v>24013611</v>
      </c>
      <c r="E87" s="8" t="str">
        <f t="shared" si="5"/>
        <v>2864 - 3611</v>
      </c>
      <c r="F87" s="9" t="s">
        <v>153</v>
      </c>
      <c r="G87" s="55">
        <v>23.3</v>
      </c>
      <c r="H87" s="11">
        <v>1</v>
      </c>
      <c r="I87" s="13">
        <v>1932.6</v>
      </c>
      <c r="J87" s="12" t="s">
        <v>149</v>
      </c>
      <c r="K87" s="11">
        <v>71072105384</v>
      </c>
      <c r="L87" s="11">
        <v>62061814832</v>
      </c>
      <c r="M87" s="12" t="s">
        <v>154</v>
      </c>
      <c r="N87" s="8" t="s">
        <v>151</v>
      </c>
      <c r="O87" s="11" t="str">
        <f t="shared" si="6"/>
        <v>51599652</v>
      </c>
      <c r="P87" s="11" t="str">
        <f t="shared" si="7"/>
        <v>51599652</v>
      </c>
      <c r="Q87" s="12" t="s">
        <v>908</v>
      </c>
      <c r="R87" s="8">
        <v>2</v>
      </c>
      <c r="S87" s="8" t="s">
        <v>843</v>
      </c>
      <c r="T87" s="8" t="s">
        <v>104</v>
      </c>
      <c r="U87" s="28">
        <f>VLOOKUP($L87,Tabla1[#All],4,FALSE)</f>
        <v>23.070526999999998</v>
      </c>
      <c r="V87" s="28">
        <f>VLOOKUP($L87,Tabla1[#All],5,FALSE)</f>
        <v>-82.437963999999994</v>
      </c>
      <c r="W87" s="43" t="s">
        <v>1717</v>
      </c>
    </row>
    <row r="88" spans="2:23" ht="15.6" customHeight="1">
      <c r="B88" s="8">
        <v>2783</v>
      </c>
      <c r="C88" s="16" t="str">
        <f t="shared" si="4"/>
        <v>2783-3363</v>
      </c>
      <c r="D88" s="8">
        <v>24013363</v>
      </c>
      <c r="E88" s="8" t="str">
        <f t="shared" si="5"/>
        <v>2783 - 3363</v>
      </c>
      <c r="F88" s="12" t="s">
        <v>717</v>
      </c>
      <c r="G88" s="10">
        <v>9.9</v>
      </c>
      <c r="H88" s="8">
        <v>1</v>
      </c>
      <c r="I88" s="13">
        <v>799.65</v>
      </c>
      <c r="J88" s="12" t="s">
        <v>50</v>
      </c>
      <c r="K88" s="8">
        <v>7101505202</v>
      </c>
      <c r="L88" s="8">
        <v>62072916215</v>
      </c>
      <c r="M88" s="12" t="s">
        <v>718</v>
      </c>
      <c r="N88" s="8" t="s">
        <v>719</v>
      </c>
      <c r="O88" s="11" t="str">
        <f t="shared" si="6"/>
        <v>56206822</v>
      </c>
      <c r="P88" s="11" t="str">
        <f t="shared" si="7"/>
        <v>56206822</v>
      </c>
      <c r="Q88" s="12" t="s">
        <v>1059</v>
      </c>
      <c r="R88" s="8">
        <v>2</v>
      </c>
      <c r="S88" s="8" t="s">
        <v>1043</v>
      </c>
      <c r="T88" s="8" t="s">
        <v>211</v>
      </c>
      <c r="U88" s="28">
        <f>VLOOKUP($L88,Tabla1[#All],4,FALSE)</f>
        <v>22.464995999999999</v>
      </c>
      <c r="V88" s="28">
        <f>VLOOKUP($L88,Tabla1[#All],5,FALSE)</f>
        <v>-79.727716999999998</v>
      </c>
      <c r="W88" s="43" t="s">
        <v>1718</v>
      </c>
    </row>
    <row r="89" spans="2:23" ht="15.6" customHeight="1">
      <c r="B89" s="8">
        <v>2794</v>
      </c>
      <c r="C89" s="16" t="str">
        <f t="shared" si="4"/>
        <v>2794-3521</v>
      </c>
      <c r="D89" s="11">
        <v>24013521</v>
      </c>
      <c r="E89" s="8" t="str">
        <f t="shared" si="5"/>
        <v>2794 - 3521</v>
      </c>
      <c r="F89" s="12" t="s">
        <v>464</v>
      </c>
      <c r="G89" s="10">
        <v>19.399999999999999</v>
      </c>
      <c r="H89" s="8">
        <v>1</v>
      </c>
      <c r="I89" s="13">
        <v>1502.1</v>
      </c>
      <c r="J89" s="12" t="s">
        <v>50</v>
      </c>
      <c r="K89" s="8">
        <v>7101505202</v>
      </c>
      <c r="L89" s="8">
        <v>62111505311</v>
      </c>
      <c r="M89" s="12" t="s">
        <v>465</v>
      </c>
      <c r="N89" s="8" t="s">
        <v>466</v>
      </c>
      <c r="O89" s="11" t="str">
        <f t="shared" si="6"/>
        <v>55237238</v>
      </c>
      <c r="P89" s="11" t="str">
        <f t="shared" si="7"/>
        <v>55237238</v>
      </c>
      <c r="Q89" s="12" t="s">
        <v>975</v>
      </c>
      <c r="R89" s="8">
        <v>2</v>
      </c>
      <c r="S89" s="8" t="s">
        <v>969</v>
      </c>
      <c r="T89" s="8" t="s">
        <v>202</v>
      </c>
      <c r="U89" s="28">
        <f>VLOOKUP($L89,Tabla1[#All],4,FALSE)</f>
        <v>22.176167</v>
      </c>
      <c r="V89" s="28">
        <f>VLOOKUP($L89,Tabla1[#All],5,FALSE)</f>
        <v>-83.968584000000007</v>
      </c>
      <c r="W89" s="43" t="s">
        <v>1717</v>
      </c>
    </row>
    <row r="90" spans="2:23" ht="15.6" customHeight="1">
      <c r="B90" s="8">
        <v>2783</v>
      </c>
      <c r="C90" s="16" t="str">
        <f t="shared" si="4"/>
        <v>2783-3320</v>
      </c>
      <c r="D90" s="8">
        <v>24013320</v>
      </c>
      <c r="E90" s="8" t="str">
        <f t="shared" si="5"/>
        <v>2783 - 3320</v>
      </c>
      <c r="F90" s="12" t="s">
        <v>626</v>
      </c>
      <c r="G90" s="33">
        <v>17.100000000000001</v>
      </c>
      <c r="H90" s="8">
        <v>1</v>
      </c>
      <c r="I90" s="13">
        <v>1577.7</v>
      </c>
      <c r="J90" s="12" t="s">
        <v>50</v>
      </c>
      <c r="K90" s="8">
        <v>7101505202</v>
      </c>
      <c r="L90" s="8">
        <v>62123007086</v>
      </c>
      <c r="M90" s="12" t="s">
        <v>627</v>
      </c>
      <c r="N90" s="8" t="s">
        <v>628</v>
      </c>
      <c r="O90" s="11" t="str">
        <f t="shared" si="6"/>
        <v>58451535</v>
      </c>
      <c r="P90" s="11" t="str">
        <f t="shared" si="7"/>
        <v>58451535</v>
      </c>
      <c r="Q90" s="12" t="s">
        <v>877</v>
      </c>
      <c r="R90" s="8">
        <v>2</v>
      </c>
      <c r="S90" s="8" t="s">
        <v>839</v>
      </c>
      <c r="T90" s="8" t="s">
        <v>104</v>
      </c>
      <c r="U90" s="28">
        <f>VLOOKUP($L90,Tabla1[#All],4,FALSE)</f>
        <v>23.065225999999999</v>
      </c>
      <c r="V90" s="28">
        <f>VLOOKUP($L90,Tabla1[#All],5,FALSE)</f>
        <v>-82.387797000000006</v>
      </c>
      <c r="W90" s="43" t="s">
        <v>1717</v>
      </c>
    </row>
    <row r="91" spans="2:23" ht="15.6" customHeight="1">
      <c r="B91" s="8">
        <v>2783</v>
      </c>
      <c r="C91" s="16" t="str">
        <f t="shared" si="4"/>
        <v>2783-3321</v>
      </c>
      <c r="D91" s="8">
        <v>24013321</v>
      </c>
      <c r="E91" s="8" t="str">
        <f t="shared" si="5"/>
        <v>2783 - 3321</v>
      </c>
      <c r="F91" s="12" t="s">
        <v>626</v>
      </c>
      <c r="G91" s="33">
        <v>17</v>
      </c>
      <c r="H91" s="8">
        <v>1</v>
      </c>
      <c r="I91" s="13">
        <v>1577.7</v>
      </c>
      <c r="J91" s="12" t="s">
        <v>50</v>
      </c>
      <c r="K91" s="8">
        <v>7101505202</v>
      </c>
      <c r="L91" s="8">
        <v>62123007086</v>
      </c>
      <c r="M91" s="12" t="s">
        <v>627</v>
      </c>
      <c r="N91" s="8" t="s">
        <v>628</v>
      </c>
      <c r="O91" s="11" t="str">
        <f t="shared" si="6"/>
        <v>58451535</v>
      </c>
      <c r="P91" s="11" t="str">
        <f t="shared" si="7"/>
        <v>58451535</v>
      </c>
      <c r="Q91" s="12" t="s">
        <v>877</v>
      </c>
      <c r="R91" s="8">
        <v>2</v>
      </c>
      <c r="S91" s="8" t="s">
        <v>839</v>
      </c>
      <c r="T91" s="8" t="s">
        <v>104</v>
      </c>
      <c r="U91" s="28">
        <f>VLOOKUP($L91,Tabla1[#All],4,FALSE)</f>
        <v>23.065225999999999</v>
      </c>
      <c r="V91" s="28">
        <f>VLOOKUP($L91,Tabla1[#All],5,FALSE)</f>
        <v>-82.387797000000006</v>
      </c>
      <c r="W91" s="43" t="s">
        <v>1717</v>
      </c>
    </row>
    <row r="92" spans="2:23" ht="15.6" customHeight="1">
      <c r="B92" s="8">
        <v>2794</v>
      </c>
      <c r="C92" s="16" t="str">
        <f t="shared" si="4"/>
        <v>2794-3447</v>
      </c>
      <c r="D92" s="11">
        <v>24013447</v>
      </c>
      <c r="E92" s="8" t="str">
        <f t="shared" si="5"/>
        <v>2794 - 3447</v>
      </c>
      <c r="F92" s="12" t="s">
        <v>588</v>
      </c>
      <c r="G92" s="33">
        <v>22.2</v>
      </c>
      <c r="H92" s="8">
        <v>1</v>
      </c>
      <c r="I92" s="13">
        <v>1539.9</v>
      </c>
      <c r="J92" s="12" t="s">
        <v>50</v>
      </c>
      <c r="K92" s="8">
        <v>7101505202</v>
      </c>
      <c r="L92" s="8">
        <v>63061815235</v>
      </c>
      <c r="M92" s="12" t="s">
        <v>325</v>
      </c>
      <c r="N92" s="8" t="s">
        <v>326</v>
      </c>
      <c r="O92" s="11" t="str">
        <f t="shared" si="6"/>
        <v>52003631</v>
      </c>
      <c r="P92" s="11" t="str">
        <f t="shared" si="7"/>
        <v>52003631</v>
      </c>
      <c r="Q92" s="12" t="s">
        <v>872</v>
      </c>
      <c r="R92" s="8">
        <v>2</v>
      </c>
      <c r="S92" s="8" t="s">
        <v>840</v>
      </c>
      <c r="T92" s="8" t="s">
        <v>104</v>
      </c>
      <c r="U92" s="28">
        <f>VLOOKUP($L92,Tabla1[#All],4,FALSE)</f>
        <v>23.085554999999999</v>
      </c>
      <c r="V92" s="28">
        <f>VLOOKUP($L92,Tabla1[#All],5,FALSE)</f>
        <v>-82.305795000000003</v>
      </c>
      <c r="W92" s="43" t="s">
        <v>1717</v>
      </c>
    </row>
    <row r="93" spans="2:23" ht="15.6" customHeight="1">
      <c r="B93" s="8">
        <v>2794</v>
      </c>
      <c r="C93" s="16" t="str">
        <f t="shared" si="4"/>
        <v>2794-3448</v>
      </c>
      <c r="D93" s="11">
        <v>24013448</v>
      </c>
      <c r="E93" s="8" t="str">
        <f t="shared" si="5"/>
        <v>2794 - 3448</v>
      </c>
      <c r="F93" s="12" t="s">
        <v>327</v>
      </c>
      <c r="G93" s="33">
        <v>5</v>
      </c>
      <c r="H93" s="8">
        <v>1</v>
      </c>
      <c r="I93" s="13">
        <v>670.5</v>
      </c>
      <c r="J93" s="12" t="s">
        <v>50</v>
      </c>
      <c r="K93" s="8">
        <v>7101505202</v>
      </c>
      <c r="L93" s="8">
        <v>63061815235</v>
      </c>
      <c r="M93" s="12" t="s">
        <v>325</v>
      </c>
      <c r="N93" s="8" t="s">
        <v>326</v>
      </c>
      <c r="O93" s="11" t="str">
        <f t="shared" si="6"/>
        <v>52003631</v>
      </c>
      <c r="P93" s="11" t="str">
        <f t="shared" si="7"/>
        <v>52003631</v>
      </c>
      <c r="Q93" s="12" t="s">
        <v>872</v>
      </c>
      <c r="R93" s="8">
        <v>2</v>
      </c>
      <c r="S93" s="8" t="s">
        <v>840</v>
      </c>
      <c r="T93" s="8" t="s">
        <v>104</v>
      </c>
      <c r="U93" s="28">
        <f>VLOOKUP($L93,Tabla1[#All],4,FALSE)</f>
        <v>23.085554999999999</v>
      </c>
      <c r="V93" s="28">
        <f>VLOOKUP($L93,Tabla1[#All],5,FALSE)</f>
        <v>-82.305795000000003</v>
      </c>
      <c r="W93" s="43" t="s">
        <v>1717</v>
      </c>
    </row>
    <row r="94" spans="2:23" ht="15.6" customHeight="1">
      <c r="B94" s="8">
        <v>2783</v>
      </c>
      <c r="C94" s="16" t="str">
        <f t="shared" si="4"/>
        <v>2783-3330</v>
      </c>
      <c r="D94" s="8">
        <v>24013330</v>
      </c>
      <c r="E94" s="8" t="str">
        <f t="shared" si="5"/>
        <v>2783 - 3330</v>
      </c>
      <c r="F94" s="12" t="s">
        <v>833</v>
      </c>
      <c r="G94" s="55">
        <v>21.6</v>
      </c>
      <c r="H94" s="8">
        <v>1</v>
      </c>
      <c r="I94" s="13">
        <v>1705.8</v>
      </c>
      <c r="J94" s="12" t="s">
        <v>50</v>
      </c>
      <c r="K94" s="8">
        <v>7101505202</v>
      </c>
      <c r="L94" s="8">
        <v>63072920718</v>
      </c>
      <c r="M94" s="12" t="s">
        <v>1108</v>
      </c>
      <c r="N94" s="8" t="s">
        <v>642</v>
      </c>
      <c r="O94" s="11" t="str">
        <f t="shared" si="6"/>
        <v>51752384</v>
      </c>
      <c r="P94" s="11" t="str">
        <f t="shared" si="7"/>
        <v>51752384</v>
      </c>
      <c r="Q94" s="12" t="s">
        <v>854</v>
      </c>
      <c r="R94" s="8">
        <v>2</v>
      </c>
      <c r="S94" s="8" t="s">
        <v>850</v>
      </c>
      <c r="T94" s="8" t="s">
        <v>31</v>
      </c>
      <c r="U94" s="28">
        <f>VLOOKUP($L94,Tabla1[#All],4,FALSE)</f>
        <v>22.820765999999999</v>
      </c>
      <c r="V94" s="28">
        <f>VLOOKUP($L94,Tabla1[#All],5,FALSE)</f>
        <v>-82.754622999999995</v>
      </c>
      <c r="W94" s="43" t="s">
        <v>1717</v>
      </c>
    </row>
    <row r="95" spans="2:23" ht="15.6" customHeight="1">
      <c r="B95" s="8">
        <v>2783</v>
      </c>
      <c r="C95" s="16" t="str">
        <f t="shared" si="4"/>
        <v>2783-3331</v>
      </c>
      <c r="D95" s="8">
        <v>24013331</v>
      </c>
      <c r="E95" s="8" t="str">
        <f t="shared" si="5"/>
        <v>2783 - 3331</v>
      </c>
      <c r="F95" s="12" t="s">
        <v>833</v>
      </c>
      <c r="G95" s="55">
        <v>15.8</v>
      </c>
      <c r="H95" s="8">
        <v>1</v>
      </c>
      <c r="I95" s="13">
        <v>1199.7</v>
      </c>
      <c r="J95" s="12" t="s">
        <v>50</v>
      </c>
      <c r="K95" s="8">
        <v>71072105384</v>
      </c>
      <c r="L95" s="8">
        <v>63072920718</v>
      </c>
      <c r="M95" s="12" t="s">
        <v>1108</v>
      </c>
      <c r="N95" s="8" t="s">
        <v>642</v>
      </c>
      <c r="O95" s="11" t="str">
        <f t="shared" si="6"/>
        <v>51752384</v>
      </c>
      <c r="P95" s="11" t="str">
        <f t="shared" si="7"/>
        <v>51752384</v>
      </c>
      <c r="Q95" s="12" t="s">
        <v>854</v>
      </c>
      <c r="R95" s="8">
        <v>2</v>
      </c>
      <c r="S95" s="8" t="s">
        <v>850</v>
      </c>
      <c r="T95" s="8" t="s">
        <v>31</v>
      </c>
      <c r="U95" s="28">
        <f>VLOOKUP($L95,Tabla1[#All],4,FALSE)</f>
        <v>22.820765999999999</v>
      </c>
      <c r="V95" s="28">
        <f>VLOOKUP($L95,Tabla1[#All],5,FALSE)</f>
        <v>-82.754622999999995</v>
      </c>
      <c r="W95" s="43" t="s">
        <v>1717</v>
      </c>
    </row>
    <row r="96" spans="2:23" ht="15.6" customHeight="1">
      <c r="B96" s="8">
        <v>2794</v>
      </c>
      <c r="C96" s="16" t="str">
        <f t="shared" si="4"/>
        <v>2794-3534</v>
      </c>
      <c r="D96" s="11">
        <v>24013534</v>
      </c>
      <c r="E96" s="8" t="str">
        <f t="shared" si="5"/>
        <v>2794 - 3534</v>
      </c>
      <c r="F96" s="12" t="s">
        <v>546</v>
      </c>
      <c r="G96" s="10">
        <v>24.7</v>
      </c>
      <c r="H96" s="8">
        <v>1</v>
      </c>
      <c r="I96" s="13">
        <v>2008.2</v>
      </c>
      <c r="J96" s="12" t="s">
        <v>50</v>
      </c>
      <c r="K96" s="8">
        <v>7101505202</v>
      </c>
      <c r="L96" s="8">
        <v>63082130098</v>
      </c>
      <c r="M96" s="12" t="s">
        <v>485</v>
      </c>
      <c r="N96" s="8" t="s">
        <v>486</v>
      </c>
      <c r="O96" s="11" t="str">
        <f t="shared" si="6"/>
        <v>53746521</v>
      </c>
      <c r="P96" s="11" t="str">
        <f t="shared" si="7"/>
        <v>53746521</v>
      </c>
      <c r="Q96" s="12" t="s">
        <v>990</v>
      </c>
      <c r="R96" s="8">
        <v>2</v>
      </c>
      <c r="S96" s="8" t="s">
        <v>966</v>
      </c>
      <c r="T96" s="8" t="s">
        <v>202</v>
      </c>
      <c r="U96" s="28">
        <f>VLOOKUP($L96,Tabla1[#All],4,FALSE)</f>
        <v>22.417408600000002</v>
      </c>
      <c r="V96" s="28">
        <f>VLOOKUP($L96,Tabla1[#All],5,FALSE)</f>
        <v>-83.695306500000001</v>
      </c>
      <c r="W96" s="43" t="s">
        <v>1717</v>
      </c>
    </row>
    <row r="97" spans="2:23" ht="15.6" customHeight="1">
      <c r="B97" s="8">
        <v>2794</v>
      </c>
      <c r="C97" s="16" t="str">
        <f t="shared" si="4"/>
        <v>2794-3535</v>
      </c>
      <c r="D97" s="11">
        <v>24013535</v>
      </c>
      <c r="E97" s="8" t="str">
        <f t="shared" si="5"/>
        <v>2794 - 3535</v>
      </c>
      <c r="F97" s="12" t="s">
        <v>542</v>
      </c>
      <c r="G97" s="10">
        <v>24.8</v>
      </c>
      <c r="H97" s="8">
        <v>1</v>
      </c>
      <c r="I97" s="13">
        <v>2008.2</v>
      </c>
      <c r="J97" s="12" t="s">
        <v>50</v>
      </c>
      <c r="K97" s="8">
        <v>7101505202</v>
      </c>
      <c r="L97" s="8">
        <v>63082130098</v>
      </c>
      <c r="M97" s="12" t="s">
        <v>485</v>
      </c>
      <c r="N97" s="8" t="s">
        <v>486</v>
      </c>
      <c r="O97" s="11" t="str">
        <f t="shared" si="6"/>
        <v>53746521</v>
      </c>
      <c r="P97" s="11" t="str">
        <f t="shared" si="7"/>
        <v>53746521</v>
      </c>
      <c r="Q97" s="12" t="s">
        <v>990</v>
      </c>
      <c r="R97" s="8">
        <v>2</v>
      </c>
      <c r="S97" s="8" t="s">
        <v>966</v>
      </c>
      <c r="T97" s="8" t="s">
        <v>202</v>
      </c>
      <c r="U97" s="28">
        <f>VLOOKUP($L97,Tabla1[#All],4,FALSE)</f>
        <v>22.417408600000002</v>
      </c>
      <c r="V97" s="28">
        <f>VLOOKUP($L97,Tabla1[#All],5,FALSE)</f>
        <v>-83.695306500000001</v>
      </c>
      <c r="W97" s="43" t="s">
        <v>1717</v>
      </c>
    </row>
    <row r="98" spans="2:23" ht="15.6" customHeight="1">
      <c r="B98" s="8">
        <v>2783</v>
      </c>
      <c r="C98" s="16" t="str">
        <f t="shared" si="4"/>
        <v>2783-3313</v>
      </c>
      <c r="D98" s="8">
        <v>24013313</v>
      </c>
      <c r="E98" s="8" t="str">
        <f t="shared" si="5"/>
        <v>2783 - 3313</v>
      </c>
      <c r="F98" s="12" t="s">
        <v>606</v>
      </c>
      <c r="G98" s="33">
        <v>8.65</v>
      </c>
      <c r="H98" s="8">
        <v>1</v>
      </c>
      <c r="I98" s="13">
        <v>3142.2</v>
      </c>
      <c r="J98" s="12" t="s">
        <v>165</v>
      </c>
      <c r="K98" s="8">
        <v>71072105384</v>
      </c>
      <c r="L98" s="8">
        <v>63090605154</v>
      </c>
      <c r="M98" s="12" t="s">
        <v>607</v>
      </c>
      <c r="N98" s="8" t="s">
        <v>608</v>
      </c>
      <c r="O98" s="11" t="str">
        <f t="shared" si="6"/>
        <v>52751582</v>
      </c>
      <c r="P98" s="11" t="str">
        <f t="shared" si="7"/>
        <v>52751582</v>
      </c>
      <c r="Q98" s="12" t="s">
        <v>898</v>
      </c>
      <c r="R98" s="8">
        <v>2</v>
      </c>
      <c r="S98" s="8" t="s">
        <v>837</v>
      </c>
      <c r="T98" s="8" t="s">
        <v>104</v>
      </c>
      <c r="U98" s="28">
        <f>VLOOKUP($L98,Tabla1[#All],4,FALSE)</f>
        <v>23.110424999999999</v>
      </c>
      <c r="V98" s="28">
        <f>VLOOKUP($L98,Tabla1[#All],5,FALSE)</f>
        <v>-82.420255999999995</v>
      </c>
      <c r="W98" s="43" t="s">
        <v>1717</v>
      </c>
    </row>
    <row r="99" spans="2:23" ht="15.6" customHeight="1">
      <c r="B99" s="8">
        <v>2794</v>
      </c>
      <c r="C99" s="16" t="str">
        <f t="shared" si="4"/>
        <v>2794-3461</v>
      </c>
      <c r="D99" s="11">
        <v>24013461</v>
      </c>
      <c r="E99" s="8" t="str">
        <f t="shared" si="5"/>
        <v>2794 - 3461</v>
      </c>
      <c r="F99" s="12" t="s">
        <v>350</v>
      </c>
      <c r="G99" s="10">
        <v>17</v>
      </c>
      <c r="H99" s="8">
        <v>1</v>
      </c>
      <c r="I99" s="13">
        <v>1350.9</v>
      </c>
      <c r="J99" s="12" t="s">
        <v>50</v>
      </c>
      <c r="K99" s="8">
        <v>7101505202</v>
      </c>
      <c r="L99" s="8">
        <v>63101022051</v>
      </c>
      <c r="M99" s="12" t="s">
        <v>351</v>
      </c>
      <c r="N99" s="8" t="s">
        <v>352</v>
      </c>
      <c r="O99" s="11" t="str">
        <f t="shared" si="6"/>
        <v>52488280</v>
      </c>
      <c r="P99" s="11" t="str">
        <f t="shared" si="7"/>
        <v>52488280</v>
      </c>
      <c r="Q99" s="12" t="s">
        <v>1077</v>
      </c>
      <c r="R99" s="8">
        <v>2</v>
      </c>
      <c r="S99" s="8" t="s">
        <v>1042</v>
      </c>
      <c r="T99" s="8" t="s">
        <v>211</v>
      </c>
      <c r="U99" s="28">
        <f>VLOOKUP($L99,Tabla1[#All],4,FALSE)</f>
        <v>22.409130999999999</v>
      </c>
      <c r="V99" s="28">
        <f>VLOOKUP($L99,Tabla1[#All],5,FALSE)</f>
        <v>-79.966277000000005</v>
      </c>
      <c r="W99" s="43" t="s">
        <v>1718</v>
      </c>
    </row>
    <row r="100" spans="2:23" ht="15.6" customHeight="1">
      <c r="B100" s="8">
        <v>2783</v>
      </c>
      <c r="C100" s="16" t="str">
        <f t="shared" si="4"/>
        <v>2783-3359</v>
      </c>
      <c r="D100" s="8">
        <v>24013359</v>
      </c>
      <c r="E100" s="8" t="str">
        <f t="shared" si="5"/>
        <v>2783 - 3359</v>
      </c>
      <c r="F100" s="12" t="s">
        <v>705</v>
      </c>
      <c r="G100" s="10">
        <v>8.6</v>
      </c>
      <c r="H100" s="8">
        <v>1</v>
      </c>
      <c r="I100" s="13">
        <v>670.5</v>
      </c>
      <c r="J100" s="12" t="s">
        <v>50</v>
      </c>
      <c r="K100" s="8">
        <v>7101505202</v>
      </c>
      <c r="L100" s="8">
        <v>63121806629</v>
      </c>
      <c r="M100" s="12" t="s">
        <v>706</v>
      </c>
      <c r="N100" s="8" t="s">
        <v>707</v>
      </c>
      <c r="O100" s="11" t="str">
        <f t="shared" si="6"/>
        <v>55986398</v>
      </c>
      <c r="P100" s="11" t="str">
        <f t="shared" si="7"/>
        <v>55986398</v>
      </c>
      <c r="Q100" s="12" t="s">
        <v>934</v>
      </c>
      <c r="R100" s="8">
        <v>2</v>
      </c>
      <c r="S100" s="8" t="s">
        <v>917</v>
      </c>
      <c r="T100" s="8" t="s">
        <v>69</v>
      </c>
      <c r="U100" s="28">
        <f>VLOOKUP($L100,Tabla1[#All],4,FALSE)</f>
        <v>20.961397999999999</v>
      </c>
      <c r="V100" s="28">
        <f>VLOOKUP($L100,Tabla1[#All],5,FALSE)</f>
        <v>-75.710521</v>
      </c>
      <c r="W100" s="43" t="s">
        <v>1717</v>
      </c>
    </row>
    <row r="101" spans="2:23" ht="15.6" customHeight="1">
      <c r="B101" s="8">
        <v>2794</v>
      </c>
      <c r="C101" s="16" t="str">
        <f t="shared" si="4"/>
        <v>2794-3519</v>
      </c>
      <c r="D101" s="11">
        <v>24013519</v>
      </c>
      <c r="E101" s="8" t="str">
        <f t="shared" si="5"/>
        <v>2794 - 3519</v>
      </c>
      <c r="F101" s="12" t="s">
        <v>459</v>
      </c>
      <c r="G101" s="10">
        <v>14.6</v>
      </c>
      <c r="H101" s="8">
        <v>1</v>
      </c>
      <c r="I101" s="13">
        <v>1199.7</v>
      </c>
      <c r="J101" s="12" t="s">
        <v>50</v>
      </c>
      <c r="K101" s="8">
        <v>7101505202</v>
      </c>
      <c r="L101" s="8">
        <v>64061500805</v>
      </c>
      <c r="M101" s="12" t="s">
        <v>460</v>
      </c>
      <c r="N101" s="8" t="s">
        <v>461</v>
      </c>
      <c r="O101" s="11" t="str">
        <f t="shared" si="6"/>
        <v>53144530</v>
      </c>
      <c r="P101" s="11" t="str">
        <f t="shared" si="7"/>
        <v>53144530</v>
      </c>
      <c r="Q101" s="12" t="s">
        <v>1690</v>
      </c>
      <c r="R101" s="8">
        <v>2</v>
      </c>
      <c r="S101" s="8" t="s">
        <v>994</v>
      </c>
      <c r="T101" s="8" t="s">
        <v>79</v>
      </c>
      <c r="U101" s="28">
        <f>VLOOKUP($L101,Tabla1[#All],4,FALSE)</f>
        <v>20.001740000000002</v>
      </c>
      <c r="V101" s="28">
        <f>VLOOKUP($L101,Tabla1[#All],5,FALSE)</f>
        <v>-75.769357999999997</v>
      </c>
      <c r="W101" s="43" t="s">
        <v>1717</v>
      </c>
    </row>
    <row r="102" spans="2:23" ht="15.6" customHeight="1">
      <c r="B102" s="8">
        <v>2783</v>
      </c>
      <c r="C102" s="16" t="str">
        <f t="shared" si="4"/>
        <v>2783-3416</v>
      </c>
      <c r="D102" s="8">
        <v>24013416</v>
      </c>
      <c r="E102" s="8" t="str">
        <f t="shared" si="5"/>
        <v>2783 - 3416</v>
      </c>
      <c r="F102" s="12" t="s">
        <v>336</v>
      </c>
      <c r="G102" s="10">
        <v>1.5</v>
      </c>
      <c r="H102" s="8">
        <v>1</v>
      </c>
      <c r="I102" s="13">
        <v>295</v>
      </c>
      <c r="J102" s="12" t="s">
        <v>809</v>
      </c>
      <c r="K102" s="8">
        <v>84092309501</v>
      </c>
      <c r="L102" s="8">
        <v>64071008130</v>
      </c>
      <c r="M102" s="12" t="s">
        <v>810</v>
      </c>
      <c r="N102" s="8" t="s">
        <v>811</v>
      </c>
      <c r="O102" s="11" t="str">
        <f t="shared" si="6"/>
        <v>58915679</v>
      </c>
      <c r="P102" s="11" t="str">
        <f t="shared" si="7"/>
        <v>58915679</v>
      </c>
      <c r="Q102" s="12" t="s">
        <v>1105</v>
      </c>
      <c r="R102" s="8">
        <v>2</v>
      </c>
      <c r="S102" s="8" t="s">
        <v>867</v>
      </c>
      <c r="T102" s="8" t="s">
        <v>358</v>
      </c>
      <c r="U102" s="28">
        <f>VLOOKUP($L102,Tabla1[#All],4,FALSE)</f>
        <v>21.370677000000001</v>
      </c>
      <c r="V102" s="28">
        <f>VLOOKUP($L102,Tabla1[#All],5,FALSE)</f>
        <v>-77.902994000000007</v>
      </c>
      <c r="W102" s="43" t="s">
        <v>1719</v>
      </c>
    </row>
    <row r="103" spans="2:23" ht="15.6" customHeight="1">
      <c r="B103" s="8">
        <v>2783</v>
      </c>
      <c r="C103" s="16" t="str">
        <f t="shared" si="4"/>
        <v>2783-3377</v>
      </c>
      <c r="D103" s="8">
        <v>24013377</v>
      </c>
      <c r="E103" s="8" t="str">
        <f t="shared" si="5"/>
        <v>2783 - 3377</v>
      </c>
      <c r="F103" s="12" t="s">
        <v>755</v>
      </c>
      <c r="G103" s="33">
        <v>17.899999999999999</v>
      </c>
      <c r="H103" s="8">
        <v>1</v>
      </c>
      <c r="I103" s="13">
        <v>1397.1</v>
      </c>
      <c r="J103" s="12" t="s">
        <v>50</v>
      </c>
      <c r="K103" s="8">
        <v>7101505202</v>
      </c>
      <c r="L103" s="8">
        <v>64101228135</v>
      </c>
      <c r="M103" s="12" t="s">
        <v>756</v>
      </c>
      <c r="N103" s="8" t="s">
        <v>757</v>
      </c>
      <c r="O103" s="11" t="str">
        <f t="shared" si="6"/>
        <v>56296551</v>
      </c>
      <c r="P103" s="11" t="str">
        <f t="shared" si="7"/>
        <v>56296551</v>
      </c>
      <c r="Q103" s="12" t="s">
        <v>880</v>
      </c>
      <c r="R103" s="8">
        <v>2</v>
      </c>
      <c r="S103" s="8" t="s">
        <v>842</v>
      </c>
      <c r="T103" s="8" t="s">
        <v>104</v>
      </c>
      <c r="U103" s="28">
        <f>VLOOKUP($L103,Tabla1[#All],4,FALSE)</f>
        <v>23.136191</v>
      </c>
      <c r="V103" s="28">
        <f>VLOOKUP($L103,Tabla1[#All],5,FALSE)</f>
        <v>-82.368228999999999</v>
      </c>
      <c r="W103" s="43" t="s">
        <v>1717</v>
      </c>
    </row>
    <row r="104" spans="2:23" ht="15.6" customHeight="1">
      <c r="B104" s="8">
        <v>2783</v>
      </c>
      <c r="C104" s="16" t="str">
        <f t="shared" si="4"/>
        <v>2783-3312</v>
      </c>
      <c r="D104" s="8">
        <v>24013312</v>
      </c>
      <c r="E104" s="8" t="str">
        <f t="shared" si="5"/>
        <v>2783 - 3312</v>
      </c>
      <c r="F104" s="12" t="s">
        <v>605</v>
      </c>
      <c r="G104" s="55">
        <v>30.2</v>
      </c>
      <c r="H104" s="8">
        <v>1</v>
      </c>
      <c r="I104" s="13">
        <v>3898.2</v>
      </c>
      <c r="J104" s="12" t="s">
        <v>165</v>
      </c>
      <c r="K104" s="8">
        <v>71072105384</v>
      </c>
      <c r="L104" s="8">
        <v>64101932954</v>
      </c>
      <c r="M104" s="12" t="s">
        <v>166</v>
      </c>
      <c r="N104" s="8" t="s">
        <v>167</v>
      </c>
      <c r="O104" s="11" t="str">
        <f t="shared" si="6"/>
        <v>72086165</v>
      </c>
      <c r="P104" s="11" t="str">
        <f t="shared" si="7"/>
        <v>52723256</v>
      </c>
      <c r="Q104" s="12" t="s">
        <v>849</v>
      </c>
      <c r="R104" s="8">
        <v>2</v>
      </c>
      <c r="S104" s="8" t="s">
        <v>837</v>
      </c>
      <c r="T104" s="8" t="s">
        <v>104</v>
      </c>
      <c r="U104" s="28">
        <f>VLOOKUP($L104,Tabla1[#All],4,FALSE)</f>
        <v>23.090313999999999</v>
      </c>
      <c r="V104" s="28">
        <f>VLOOKUP($L104,Tabla1[#All],5,FALSE)</f>
        <v>-82.455618999999999</v>
      </c>
      <c r="W104" s="43" t="s">
        <v>1717</v>
      </c>
    </row>
    <row r="105" spans="2:23" ht="15.6" customHeight="1">
      <c r="B105" s="8">
        <v>2864</v>
      </c>
      <c r="C105" s="16" t="str">
        <f t="shared" si="4"/>
        <v>2864-3616</v>
      </c>
      <c r="D105" s="8">
        <v>24013616</v>
      </c>
      <c r="E105" s="8" t="str">
        <f t="shared" si="5"/>
        <v>2864 - 3616</v>
      </c>
      <c r="F105" s="9" t="s">
        <v>164</v>
      </c>
      <c r="G105" s="55">
        <v>30.56</v>
      </c>
      <c r="H105" s="11">
        <v>1</v>
      </c>
      <c r="I105" s="13">
        <v>295</v>
      </c>
      <c r="J105" s="12" t="s">
        <v>165</v>
      </c>
      <c r="K105" s="11">
        <v>71072105384</v>
      </c>
      <c r="L105" s="11">
        <v>64101932954</v>
      </c>
      <c r="M105" s="12" t="s">
        <v>166</v>
      </c>
      <c r="N105" s="8" t="s">
        <v>167</v>
      </c>
      <c r="O105" s="11" t="str">
        <f t="shared" si="6"/>
        <v>72086165</v>
      </c>
      <c r="P105" s="11" t="str">
        <f t="shared" si="7"/>
        <v>52723256</v>
      </c>
      <c r="Q105" s="12" t="s">
        <v>849</v>
      </c>
      <c r="R105" s="8">
        <v>2</v>
      </c>
      <c r="S105" s="8" t="s">
        <v>837</v>
      </c>
      <c r="T105" s="8" t="s">
        <v>104</v>
      </c>
      <c r="U105" s="28">
        <f>VLOOKUP($L105,Tabla1[#All],4,FALSE)</f>
        <v>23.090313999999999</v>
      </c>
      <c r="V105" s="28">
        <f>VLOOKUP($L105,Tabla1[#All],5,FALSE)</f>
        <v>-82.455618999999999</v>
      </c>
      <c r="W105" s="43" t="s">
        <v>1717</v>
      </c>
    </row>
    <row r="106" spans="2:23" ht="15.6" customHeight="1">
      <c r="B106" s="8">
        <v>2864</v>
      </c>
      <c r="C106" s="16" t="str">
        <f t="shared" si="4"/>
        <v>2864-3617</v>
      </c>
      <c r="D106" s="8">
        <v>24013617</v>
      </c>
      <c r="E106" s="8" t="str">
        <f t="shared" si="5"/>
        <v>2864 - 3617</v>
      </c>
      <c r="F106" s="9" t="s">
        <v>169</v>
      </c>
      <c r="G106" s="55">
        <v>8.66</v>
      </c>
      <c r="H106" s="11">
        <v>1</v>
      </c>
      <c r="I106" s="13">
        <v>295</v>
      </c>
      <c r="J106" s="12" t="s">
        <v>165</v>
      </c>
      <c r="K106" s="11">
        <v>71072105384</v>
      </c>
      <c r="L106" s="11">
        <v>64101932954</v>
      </c>
      <c r="M106" s="12" t="s">
        <v>166</v>
      </c>
      <c r="N106" s="8" t="s">
        <v>167</v>
      </c>
      <c r="O106" s="11" t="str">
        <f t="shared" si="6"/>
        <v>72086165</v>
      </c>
      <c r="P106" s="11" t="str">
        <f t="shared" si="7"/>
        <v>52723256</v>
      </c>
      <c r="Q106" s="12" t="s">
        <v>849</v>
      </c>
      <c r="R106" s="8">
        <v>2</v>
      </c>
      <c r="S106" s="8" t="s">
        <v>837</v>
      </c>
      <c r="T106" s="8" t="s">
        <v>104</v>
      </c>
      <c r="U106" s="28">
        <f>VLOOKUP($L106,Tabla1[#All],4,FALSE)</f>
        <v>23.090313999999999</v>
      </c>
      <c r="V106" s="28">
        <f>VLOOKUP($L106,Tabla1[#All],5,FALSE)</f>
        <v>-82.455618999999999</v>
      </c>
      <c r="W106" s="43" t="s">
        <v>1717</v>
      </c>
    </row>
    <row r="107" spans="2:23" ht="15.6" customHeight="1">
      <c r="B107" s="8">
        <v>2794</v>
      </c>
      <c r="C107" s="16" t="str">
        <f t="shared" si="4"/>
        <v>2794-3493</v>
      </c>
      <c r="D107" s="11">
        <v>24013493</v>
      </c>
      <c r="E107" s="8" t="str">
        <f t="shared" si="5"/>
        <v>2794 - 3493</v>
      </c>
      <c r="F107" s="12" t="s">
        <v>413</v>
      </c>
      <c r="G107" s="55">
        <v>11.1</v>
      </c>
      <c r="H107" s="8">
        <v>1</v>
      </c>
      <c r="I107" s="13">
        <v>897.3</v>
      </c>
      <c r="J107" s="12" t="s">
        <v>50</v>
      </c>
      <c r="K107" s="8">
        <v>7101505202</v>
      </c>
      <c r="L107" s="8">
        <v>65030600401</v>
      </c>
      <c r="M107" s="12" t="s">
        <v>414</v>
      </c>
      <c r="N107" s="8" t="s">
        <v>415</v>
      </c>
      <c r="O107" s="11" t="str">
        <f t="shared" si="6"/>
        <v>52371400</v>
      </c>
      <c r="P107" s="11" t="str">
        <f t="shared" si="7"/>
        <v>52371400</v>
      </c>
      <c r="Q107" s="12" t="s">
        <v>993</v>
      </c>
      <c r="R107" s="8">
        <v>2</v>
      </c>
      <c r="S107" s="8" t="s">
        <v>966</v>
      </c>
      <c r="T107" s="8" t="s">
        <v>202</v>
      </c>
      <c r="U107" s="28">
        <f>VLOOKUP($L107,Tabla1[#All],4,FALSE)</f>
        <v>22.428183600000001</v>
      </c>
      <c r="V107" s="28">
        <f>VLOOKUP($L107,Tabla1[#All],5,FALSE)</f>
        <v>-83.674261999999999</v>
      </c>
      <c r="W107" s="43" t="s">
        <v>1717</v>
      </c>
    </row>
    <row r="108" spans="2:23" ht="15.6" customHeight="1">
      <c r="B108" s="8">
        <v>2794</v>
      </c>
      <c r="C108" s="16" t="str">
        <f t="shared" si="4"/>
        <v>2794-3494</v>
      </c>
      <c r="D108" s="11">
        <v>24013494</v>
      </c>
      <c r="E108" s="8" t="str">
        <f t="shared" si="5"/>
        <v>2794 - 3494</v>
      </c>
      <c r="F108" s="12" t="s">
        <v>413</v>
      </c>
      <c r="G108" s="55">
        <v>8.6999999999999993</v>
      </c>
      <c r="H108" s="8">
        <v>1</v>
      </c>
      <c r="I108" s="13">
        <v>746.1</v>
      </c>
      <c r="J108" s="12" t="s">
        <v>50</v>
      </c>
      <c r="K108" s="8">
        <v>7101505202</v>
      </c>
      <c r="L108" s="8">
        <v>65030600401</v>
      </c>
      <c r="M108" s="12" t="s">
        <v>414</v>
      </c>
      <c r="N108" s="8" t="s">
        <v>415</v>
      </c>
      <c r="O108" s="11" t="str">
        <f t="shared" si="6"/>
        <v>52371400</v>
      </c>
      <c r="P108" s="11" t="str">
        <f t="shared" si="7"/>
        <v>52371400</v>
      </c>
      <c r="Q108" s="12" t="s">
        <v>993</v>
      </c>
      <c r="R108" s="8">
        <v>2</v>
      </c>
      <c r="S108" s="8" t="s">
        <v>966</v>
      </c>
      <c r="T108" s="8" t="s">
        <v>202</v>
      </c>
      <c r="U108" s="28">
        <f>VLOOKUP($L108,Tabla1[#All],4,FALSE)</f>
        <v>22.428183600000001</v>
      </c>
      <c r="V108" s="28">
        <f>VLOOKUP($L108,Tabla1[#All],5,FALSE)</f>
        <v>-83.674261999999999</v>
      </c>
      <c r="W108" s="43" t="s">
        <v>1717</v>
      </c>
    </row>
    <row r="109" spans="2:23" ht="15.6" customHeight="1">
      <c r="B109" s="8">
        <v>2794</v>
      </c>
      <c r="C109" s="16" t="str">
        <f t="shared" si="4"/>
        <v>2794-3544</v>
      </c>
      <c r="D109" s="11">
        <v>24013544</v>
      </c>
      <c r="E109" s="8" t="str">
        <f t="shared" si="5"/>
        <v>2794 - 3544</v>
      </c>
      <c r="F109" s="12" t="s">
        <v>499</v>
      </c>
      <c r="G109" s="46">
        <v>21</v>
      </c>
      <c r="H109" s="8">
        <v>1</v>
      </c>
      <c r="I109" s="13">
        <v>295</v>
      </c>
      <c r="J109" s="12" t="s">
        <v>50</v>
      </c>
      <c r="K109" s="8">
        <v>7101505202</v>
      </c>
      <c r="L109" s="8">
        <v>65042403255</v>
      </c>
      <c r="M109" s="12" t="s">
        <v>500</v>
      </c>
      <c r="N109" s="8" t="s">
        <v>501</v>
      </c>
      <c r="O109" s="11" t="str">
        <f t="shared" si="6"/>
        <v>58902785</v>
      </c>
      <c r="P109" s="11" t="str">
        <f t="shared" si="7"/>
        <v>58902785</v>
      </c>
      <c r="Q109" s="12" t="s">
        <v>1092</v>
      </c>
      <c r="R109" s="8">
        <v>2</v>
      </c>
      <c r="S109" s="8" t="s">
        <v>1084</v>
      </c>
      <c r="T109" s="8" t="s">
        <v>185</v>
      </c>
      <c r="U109" s="28">
        <f>VLOOKUP($L109,Tabla1[#All],4,FALSE)</f>
        <v>23.040671</v>
      </c>
      <c r="V109" s="28">
        <f>VLOOKUP($L109,Tabla1[#All],5,FALSE)</f>
        <v>-81.521643999999995</v>
      </c>
      <c r="W109" s="43" t="s">
        <v>1717</v>
      </c>
    </row>
    <row r="110" spans="2:23" ht="15.6" customHeight="1">
      <c r="B110" s="8">
        <v>2794</v>
      </c>
      <c r="C110" s="16" t="str">
        <f t="shared" si="4"/>
        <v>2794-3545</v>
      </c>
      <c r="D110" s="11">
        <v>24013545</v>
      </c>
      <c r="E110" s="8" t="str">
        <f t="shared" si="5"/>
        <v>2794 - 3545</v>
      </c>
      <c r="F110" s="12" t="s">
        <v>502</v>
      </c>
      <c r="G110" s="46">
        <v>8.3000000000000007</v>
      </c>
      <c r="H110" s="8">
        <v>1</v>
      </c>
      <c r="I110" s="13">
        <v>670.5</v>
      </c>
      <c r="J110" s="12" t="s">
        <v>50</v>
      </c>
      <c r="K110" s="8">
        <v>7101505202</v>
      </c>
      <c r="L110" s="8">
        <v>65042403255</v>
      </c>
      <c r="M110" s="12" t="s">
        <v>500</v>
      </c>
      <c r="N110" s="8" t="s">
        <v>501</v>
      </c>
      <c r="O110" s="11" t="str">
        <f t="shared" si="6"/>
        <v>58902785</v>
      </c>
      <c r="P110" s="11" t="str">
        <f t="shared" si="7"/>
        <v>58902785</v>
      </c>
      <c r="Q110" s="12" t="s">
        <v>1092</v>
      </c>
      <c r="R110" s="8">
        <v>2</v>
      </c>
      <c r="S110" s="8" t="s">
        <v>1084</v>
      </c>
      <c r="T110" s="8" t="s">
        <v>185</v>
      </c>
      <c r="U110" s="28">
        <f>VLOOKUP($L110,Tabla1[#All],4,FALSE)</f>
        <v>23.040671</v>
      </c>
      <c r="V110" s="28">
        <f>VLOOKUP($L110,Tabla1[#All],5,FALSE)</f>
        <v>-81.521643999999995</v>
      </c>
      <c r="W110" s="43" t="s">
        <v>1717</v>
      </c>
    </row>
    <row r="111" spans="2:23" ht="15.6" customHeight="1">
      <c r="B111" s="8">
        <v>2794</v>
      </c>
      <c r="C111" s="16" t="str">
        <f t="shared" si="4"/>
        <v>2794-3546</v>
      </c>
      <c r="D111" s="11">
        <v>24013546</v>
      </c>
      <c r="E111" s="8" t="str">
        <f t="shared" si="5"/>
        <v>2794 - 3546</v>
      </c>
      <c r="F111" s="12" t="s">
        <v>503</v>
      </c>
      <c r="G111" s="46">
        <v>16.600000000000001</v>
      </c>
      <c r="H111" s="8">
        <v>1</v>
      </c>
      <c r="I111" s="13">
        <v>1350.9</v>
      </c>
      <c r="J111" s="12" t="s">
        <v>50</v>
      </c>
      <c r="K111" s="8">
        <v>7101505202</v>
      </c>
      <c r="L111" s="8">
        <v>65042403255</v>
      </c>
      <c r="M111" s="12" t="s">
        <v>500</v>
      </c>
      <c r="N111" s="8" t="s">
        <v>501</v>
      </c>
      <c r="O111" s="11" t="str">
        <f t="shared" si="6"/>
        <v>58902785</v>
      </c>
      <c r="P111" s="11" t="str">
        <f t="shared" si="7"/>
        <v>58902785</v>
      </c>
      <c r="Q111" s="12" t="s">
        <v>1092</v>
      </c>
      <c r="R111" s="8">
        <v>2</v>
      </c>
      <c r="S111" s="8" t="s">
        <v>1084</v>
      </c>
      <c r="T111" s="8" t="s">
        <v>185</v>
      </c>
      <c r="U111" s="28">
        <f>VLOOKUP($L111,Tabla1[#All],4,FALSE)</f>
        <v>23.040671</v>
      </c>
      <c r="V111" s="28">
        <f>VLOOKUP($L111,Tabla1[#All],5,FALSE)</f>
        <v>-81.521643999999995</v>
      </c>
      <c r="W111" s="43" t="s">
        <v>1717</v>
      </c>
    </row>
    <row r="112" spans="2:23" ht="15.6" customHeight="1">
      <c r="B112" s="8">
        <v>2783</v>
      </c>
      <c r="C112" s="16" t="str">
        <f t="shared" si="4"/>
        <v>2783-3309</v>
      </c>
      <c r="D112" s="8">
        <v>24013309</v>
      </c>
      <c r="E112" s="8" t="str">
        <f t="shared" si="5"/>
        <v>2783 - 3309</v>
      </c>
      <c r="F112" s="12" t="s">
        <v>595</v>
      </c>
      <c r="G112" s="10">
        <v>5.6</v>
      </c>
      <c r="H112" s="8">
        <v>1</v>
      </c>
      <c r="I112" s="13">
        <v>443.7</v>
      </c>
      <c r="J112" s="12" t="s">
        <v>596</v>
      </c>
      <c r="K112" s="8">
        <v>71072105384</v>
      </c>
      <c r="L112" s="8">
        <v>65070809095</v>
      </c>
      <c r="M112" s="12" t="s">
        <v>597</v>
      </c>
      <c r="N112" s="8" t="s">
        <v>598</v>
      </c>
      <c r="O112" s="11" t="str">
        <f t="shared" si="6"/>
        <v>51448815</v>
      </c>
      <c r="P112" s="11" t="str">
        <f t="shared" si="7"/>
        <v>51448815</v>
      </c>
      <c r="Q112" s="12" t="s">
        <v>927</v>
      </c>
      <c r="R112" s="8">
        <v>2</v>
      </c>
      <c r="S112" s="8" t="s">
        <v>912</v>
      </c>
      <c r="T112" s="8" t="s">
        <v>69</v>
      </c>
      <c r="U112" s="28">
        <f>VLOOKUP($L112,Tabla1[#All],4,FALSE)</f>
        <v>20.876197000000001</v>
      </c>
      <c r="V112" s="28">
        <f>VLOOKUP($L112,Tabla1[#All],5,FALSE)</f>
        <v>-76.257707999999994</v>
      </c>
      <c r="W112" s="43" t="s">
        <v>1717</v>
      </c>
    </row>
    <row r="113" spans="2:23" ht="15.6" customHeight="1">
      <c r="B113" s="47">
        <v>2794</v>
      </c>
      <c r="C113" s="48" t="str">
        <f t="shared" si="4"/>
        <v>2794-3457</v>
      </c>
      <c r="D113" s="49">
        <v>24013457</v>
      </c>
      <c r="E113" s="47" t="str">
        <f t="shared" si="5"/>
        <v>2794 - 3457</v>
      </c>
      <c r="F113" s="50" t="s">
        <v>340</v>
      </c>
      <c r="G113" s="51">
        <v>7.7</v>
      </c>
      <c r="H113" s="47">
        <v>1</v>
      </c>
      <c r="I113" s="52"/>
      <c r="J113" s="50" t="s">
        <v>50</v>
      </c>
      <c r="K113" s="47">
        <v>7101505202</v>
      </c>
      <c r="L113" s="47">
        <v>65101304095</v>
      </c>
      <c r="M113" s="50" t="s">
        <v>341</v>
      </c>
      <c r="N113" s="47" t="s">
        <v>342</v>
      </c>
      <c r="O113" s="49" t="str">
        <f t="shared" si="6"/>
        <v>54538727</v>
      </c>
      <c r="P113" s="49" t="str">
        <f t="shared" si="7"/>
        <v>54538727</v>
      </c>
      <c r="Q113" s="50" t="s">
        <v>1685</v>
      </c>
      <c r="R113" s="47">
        <v>2</v>
      </c>
      <c r="S113" s="47" t="s">
        <v>912</v>
      </c>
      <c r="T113" s="47" t="s">
        <v>69</v>
      </c>
      <c r="U113" s="53">
        <f>VLOOKUP($L113,Tabla1[#All],4,FALSE)</f>
        <v>20.887875000000001</v>
      </c>
      <c r="V113" s="53">
        <f>VLOOKUP($L113,Tabla1[#All],5,FALSE)</f>
        <v>-76.266542999999999</v>
      </c>
      <c r="W113" s="54" t="s">
        <v>1697</v>
      </c>
    </row>
    <row r="114" spans="2:23" ht="15.6" customHeight="1">
      <c r="B114" s="8">
        <v>2794</v>
      </c>
      <c r="C114" s="16" t="str">
        <f t="shared" si="4"/>
        <v>2794-3523</v>
      </c>
      <c r="D114" s="11">
        <v>24013523</v>
      </c>
      <c r="E114" s="8" t="str">
        <f t="shared" si="5"/>
        <v>2794 - 3523</v>
      </c>
      <c r="F114" s="12" t="s">
        <v>469</v>
      </c>
      <c r="G114" s="10">
        <v>7.8</v>
      </c>
      <c r="H114" s="8">
        <v>1</v>
      </c>
      <c r="I114" s="13">
        <v>670.5</v>
      </c>
      <c r="J114" s="12" t="s">
        <v>50</v>
      </c>
      <c r="K114" s="8">
        <v>7101505202</v>
      </c>
      <c r="L114" s="8">
        <v>65112308670</v>
      </c>
      <c r="M114" s="12" t="s">
        <v>470</v>
      </c>
      <c r="N114" s="8" t="s">
        <v>471</v>
      </c>
      <c r="O114" s="11" t="str">
        <f t="shared" si="6"/>
        <v>55749729</v>
      </c>
      <c r="P114" s="11" t="str">
        <f t="shared" si="7"/>
        <v>55749729</v>
      </c>
      <c r="Q114" s="12" t="s">
        <v>1693</v>
      </c>
      <c r="R114" s="8">
        <v>2</v>
      </c>
      <c r="S114" s="8" t="s">
        <v>1041</v>
      </c>
      <c r="T114" s="8" t="s">
        <v>1052</v>
      </c>
      <c r="U114" s="28">
        <f>VLOOKUP($L114,Tabla1[#All],4,FALSE)</f>
        <v>21.937131000000001</v>
      </c>
      <c r="V114" s="28">
        <f>VLOOKUP($L114,Tabla1[#All],5,FALSE)</f>
        <v>-79.434122000000002</v>
      </c>
      <c r="W114" s="43" t="s">
        <v>1718</v>
      </c>
    </row>
    <row r="115" spans="2:23" ht="15.6" customHeight="1">
      <c r="B115" s="8">
        <v>2794</v>
      </c>
      <c r="C115" s="16" t="str">
        <f t="shared" si="4"/>
        <v>2794-3524</v>
      </c>
      <c r="D115" s="11">
        <v>24013524</v>
      </c>
      <c r="E115" s="8" t="str">
        <f t="shared" si="5"/>
        <v>2794 - 3524</v>
      </c>
      <c r="F115" s="12" t="s">
        <v>551</v>
      </c>
      <c r="G115" s="10">
        <v>6.7</v>
      </c>
      <c r="H115" s="8">
        <v>1</v>
      </c>
      <c r="I115" s="13">
        <v>594.9</v>
      </c>
      <c r="J115" s="12" t="s">
        <v>50</v>
      </c>
      <c r="K115" s="8">
        <v>7101505202</v>
      </c>
      <c r="L115" s="8">
        <v>65112308670</v>
      </c>
      <c r="M115" s="12" t="s">
        <v>470</v>
      </c>
      <c r="N115" s="8" t="s">
        <v>471</v>
      </c>
      <c r="O115" s="11" t="str">
        <f t="shared" si="6"/>
        <v>55749729</v>
      </c>
      <c r="P115" s="11" t="str">
        <f t="shared" si="7"/>
        <v>55749729</v>
      </c>
      <c r="Q115" s="12" t="s">
        <v>1693</v>
      </c>
      <c r="R115" s="8">
        <v>2</v>
      </c>
      <c r="S115" s="8" t="s">
        <v>1041</v>
      </c>
      <c r="T115" s="8" t="s">
        <v>1052</v>
      </c>
      <c r="U115" s="28">
        <f>VLOOKUP($L115,Tabla1[#All],4,FALSE)</f>
        <v>21.937131000000001</v>
      </c>
      <c r="V115" s="28">
        <f>VLOOKUP($L115,Tabla1[#All],5,FALSE)</f>
        <v>-79.434122000000002</v>
      </c>
      <c r="W115" s="43" t="s">
        <v>1718</v>
      </c>
    </row>
    <row r="116" spans="2:23" ht="15.6" customHeight="1">
      <c r="B116" s="8">
        <v>2783</v>
      </c>
      <c r="C116" s="16" t="str">
        <f t="shared" si="4"/>
        <v>2783-3388</v>
      </c>
      <c r="D116" s="8">
        <v>24013388</v>
      </c>
      <c r="E116" s="8" t="str">
        <f t="shared" si="5"/>
        <v>2783 - 3388</v>
      </c>
      <c r="F116" s="12" t="s">
        <v>782</v>
      </c>
      <c r="G116" s="10">
        <v>26</v>
      </c>
      <c r="H116" s="8">
        <v>1</v>
      </c>
      <c r="I116" s="13">
        <v>2046</v>
      </c>
      <c r="J116" s="12" t="s">
        <v>50</v>
      </c>
      <c r="K116" s="8">
        <v>7101505202</v>
      </c>
      <c r="L116" s="8">
        <v>66030408078</v>
      </c>
      <c r="M116" s="12" t="s">
        <v>783</v>
      </c>
      <c r="N116" s="8" t="s">
        <v>784</v>
      </c>
      <c r="O116" s="11" t="str">
        <f t="shared" si="6"/>
        <v>53463798</v>
      </c>
      <c r="P116" s="11" t="str">
        <f t="shared" si="7"/>
        <v>53463798</v>
      </c>
      <c r="Q116" s="12" t="s">
        <v>942</v>
      </c>
      <c r="R116" s="8">
        <v>2</v>
      </c>
      <c r="S116" s="8" t="s">
        <v>915</v>
      </c>
      <c r="T116" s="8" t="s">
        <v>931</v>
      </c>
      <c r="U116" s="28">
        <f>VLOOKUP($L116,Tabla1[#All],4,FALSE)</f>
        <v>20.365067</v>
      </c>
      <c r="V116" s="28">
        <f>VLOOKUP($L116,Tabla1[#All],5,FALSE)</f>
        <v>-76.637073999999998</v>
      </c>
      <c r="W116" s="43" t="s">
        <v>1717</v>
      </c>
    </row>
    <row r="117" spans="2:23" ht="15.6" customHeight="1">
      <c r="B117" s="8">
        <v>2794</v>
      </c>
      <c r="C117" s="16" t="str">
        <f t="shared" si="4"/>
        <v>2794-3502</v>
      </c>
      <c r="D117" s="11">
        <v>24013502</v>
      </c>
      <c r="E117" s="8" t="str">
        <f t="shared" si="5"/>
        <v>2794 - 3502</v>
      </c>
      <c r="F117" s="12" t="s">
        <v>565</v>
      </c>
      <c r="G117" s="10">
        <v>18.3</v>
      </c>
      <c r="H117" s="8">
        <v>1</v>
      </c>
      <c r="I117" s="13">
        <v>1539.9</v>
      </c>
      <c r="J117" s="12" t="s">
        <v>50</v>
      </c>
      <c r="K117" s="11">
        <v>7101505202</v>
      </c>
      <c r="L117" s="11">
        <v>66032208432</v>
      </c>
      <c r="M117" s="12" t="s">
        <v>428</v>
      </c>
      <c r="N117" s="11" t="s">
        <v>429</v>
      </c>
      <c r="O117" s="11" t="str">
        <f t="shared" si="6"/>
        <v>51810916</v>
      </c>
      <c r="P117" s="11" t="str">
        <f t="shared" si="7"/>
        <v>51810916</v>
      </c>
      <c r="Q117" s="12" t="s">
        <v>976</v>
      </c>
      <c r="R117" s="8">
        <v>2</v>
      </c>
      <c r="S117" s="8" t="s">
        <v>967</v>
      </c>
      <c r="T117" s="8" t="s">
        <v>202</v>
      </c>
      <c r="U117" s="28">
        <f>VLOOKUP($L117,Tabla1[#All],4,FALSE)</f>
        <v>22.516123</v>
      </c>
      <c r="V117" s="28">
        <f>VLOOKUP($L117,Tabla1[#All],5,FALSE)</f>
        <v>-83.421931000000001</v>
      </c>
      <c r="W117" s="43" t="s">
        <v>1717</v>
      </c>
    </row>
    <row r="118" spans="2:23" ht="15.6" customHeight="1">
      <c r="B118" s="8">
        <v>2783</v>
      </c>
      <c r="C118" s="16" t="str">
        <f t="shared" si="4"/>
        <v>2783-3362</v>
      </c>
      <c r="D118" s="8">
        <v>24013362</v>
      </c>
      <c r="E118" s="8" t="str">
        <f t="shared" si="5"/>
        <v>2783 - 3362</v>
      </c>
      <c r="F118" s="12" t="s">
        <v>714</v>
      </c>
      <c r="G118" s="10">
        <v>15.2</v>
      </c>
      <c r="H118" s="8">
        <v>1</v>
      </c>
      <c r="I118" s="13">
        <v>1350.9</v>
      </c>
      <c r="J118" s="12" t="s">
        <v>50</v>
      </c>
      <c r="K118" s="8">
        <v>7101505202</v>
      </c>
      <c r="L118" s="8">
        <v>66060800111</v>
      </c>
      <c r="M118" s="12" t="s">
        <v>715</v>
      </c>
      <c r="N118" s="8" t="s">
        <v>716</v>
      </c>
      <c r="O118" s="11" t="str">
        <f t="shared" si="6"/>
        <v>55633352</v>
      </c>
      <c r="P118" s="11" t="str">
        <f t="shared" si="7"/>
        <v>55633352</v>
      </c>
      <c r="Q118" s="12" t="s">
        <v>1010</v>
      </c>
      <c r="R118" s="8">
        <v>2</v>
      </c>
      <c r="S118" s="8" t="s">
        <v>997</v>
      </c>
      <c r="T118" s="8" t="s">
        <v>1012</v>
      </c>
      <c r="U118" s="28">
        <f>VLOOKUP($L118,Tabla1[#All],4,FALSE)</f>
        <v>20.125610999999999</v>
      </c>
      <c r="V118" s="28">
        <f>VLOOKUP($L118,Tabla1[#All],5,FALSE)</f>
        <v>-75.218005000000005</v>
      </c>
      <c r="W118" s="43" t="s">
        <v>1717</v>
      </c>
    </row>
    <row r="119" spans="2:23" ht="15.6" customHeight="1">
      <c r="B119" s="8">
        <v>2794</v>
      </c>
      <c r="C119" s="16" t="str">
        <f t="shared" si="4"/>
        <v>2794-3527</v>
      </c>
      <c r="D119" s="11">
        <v>24013527</v>
      </c>
      <c r="E119" s="8" t="str">
        <f t="shared" si="5"/>
        <v>2794 - 3527</v>
      </c>
      <c r="F119" s="12" t="s">
        <v>550</v>
      </c>
      <c r="G119" s="10">
        <v>15.2</v>
      </c>
      <c r="H119" s="8">
        <v>1</v>
      </c>
      <c r="I119" s="13">
        <v>1705.8</v>
      </c>
      <c r="J119" s="12" t="s">
        <v>50</v>
      </c>
      <c r="K119" s="8">
        <v>7101505202</v>
      </c>
      <c r="L119" s="8">
        <v>66061109631</v>
      </c>
      <c r="M119" s="12" t="s">
        <v>476</v>
      </c>
      <c r="N119" s="8" t="s">
        <v>477</v>
      </c>
      <c r="O119" s="11" t="str">
        <f t="shared" si="6"/>
        <v>58327920</v>
      </c>
      <c r="P119" s="11" t="str">
        <f t="shared" si="7"/>
        <v>58327920</v>
      </c>
      <c r="Q119" s="12" t="s">
        <v>1037</v>
      </c>
      <c r="R119" s="8">
        <v>2</v>
      </c>
      <c r="S119" s="8" t="s">
        <v>994</v>
      </c>
      <c r="T119" s="8" t="s">
        <v>79</v>
      </c>
      <c r="U119" s="28">
        <f>VLOOKUP($L119,Tabla1[#All],4,FALSE)</f>
        <v>20.037465000000001</v>
      </c>
      <c r="V119" s="28">
        <f>VLOOKUP($L119,Tabla1[#All],5,FALSE)</f>
        <v>-75.823600999999996</v>
      </c>
      <c r="W119" s="43" t="s">
        <v>1717</v>
      </c>
    </row>
    <row r="120" spans="2:23" ht="15.6" customHeight="1">
      <c r="B120" s="8">
        <v>2794</v>
      </c>
      <c r="C120" s="16" t="str">
        <f t="shared" si="4"/>
        <v>2794-3528</v>
      </c>
      <c r="D120" s="11">
        <v>24013528</v>
      </c>
      <c r="E120" s="8" t="str">
        <f t="shared" si="5"/>
        <v>2794 - 3528</v>
      </c>
      <c r="F120" s="12" t="s">
        <v>478</v>
      </c>
      <c r="G120" s="10">
        <v>8.3000000000000007</v>
      </c>
      <c r="H120" s="8">
        <v>1</v>
      </c>
      <c r="I120" s="13">
        <v>295</v>
      </c>
      <c r="J120" s="12" t="s">
        <v>50</v>
      </c>
      <c r="K120" s="8">
        <v>7101505202</v>
      </c>
      <c r="L120" s="8">
        <v>66061109631</v>
      </c>
      <c r="M120" s="12" t="s">
        <v>476</v>
      </c>
      <c r="N120" s="8" t="s">
        <v>477</v>
      </c>
      <c r="O120" s="11" t="str">
        <f t="shared" si="6"/>
        <v>58327920</v>
      </c>
      <c r="P120" s="11" t="str">
        <f t="shared" si="7"/>
        <v>58327920</v>
      </c>
      <c r="Q120" s="12" t="s">
        <v>1037</v>
      </c>
      <c r="R120" s="8">
        <v>2</v>
      </c>
      <c r="S120" s="8" t="s">
        <v>994</v>
      </c>
      <c r="T120" s="8" t="s">
        <v>79</v>
      </c>
      <c r="U120" s="28">
        <f>VLOOKUP($L120,Tabla1[#All],4,FALSE)</f>
        <v>20.037465000000001</v>
      </c>
      <c r="V120" s="28">
        <f>VLOOKUP($L120,Tabla1[#All],5,FALSE)</f>
        <v>-75.823600999999996</v>
      </c>
      <c r="W120" s="43" t="s">
        <v>1717</v>
      </c>
    </row>
    <row r="121" spans="2:23" ht="15.6" customHeight="1">
      <c r="B121" s="8">
        <v>2783</v>
      </c>
      <c r="C121" s="16" t="str">
        <f t="shared" si="4"/>
        <v>2783-3372</v>
      </c>
      <c r="D121" s="8">
        <v>24013372</v>
      </c>
      <c r="E121" s="8" t="str">
        <f t="shared" si="5"/>
        <v>2783 - 3372</v>
      </c>
      <c r="F121" s="12" t="s">
        <v>744</v>
      </c>
      <c r="G121" s="10">
        <v>21.1</v>
      </c>
      <c r="H121" s="8">
        <v>1</v>
      </c>
      <c r="I121" s="13">
        <v>1781.4</v>
      </c>
      <c r="J121" s="12" t="s">
        <v>50</v>
      </c>
      <c r="K121" s="8">
        <v>7101505202</v>
      </c>
      <c r="L121" s="8">
        <v>66061808633</v>
      </c>
      <c r="M121" s="12" t="s">
        <v>745</v>
      </c>
      <c r="N121" s="8" t="s">
        <v>746</v>
      </c>
      <c r="O121" s="11" t="str">
        <f t="shared" si="6"/>
        <v>54923385</v>
      </c>
      <c r="P121" s="11" t="str">
        <f t="shared" si="7"/>
        <v>54923385</v>
      </c>
      <c r="Q121" s="12" t="s">
        <v>862</v>
      </c>
      <c r="R121" s="8">
        <v>2</v>
      </c>
      <c r="S121" s="8" t="s">
        <v>861</v>
      </c>
      <c r="T121" s="8" t="s">
        <v>835</v>
      </c>
      <c r="U121" s="28">
        <f>VLOOKUP($L121,Tabla1[#All],4,FALSE)</f>
        <v>21.844382</v>
      </c>
      <c r="V121" s="28">
        <f>VLOOKUP($L121,Tabla1[#All],5,FALSE)</f>
        <v>-78.752646999999996</v>
      </c>
      <c r="W121" s="43" t="s">
        <v>1718</v>
      </c>
    </row>
    <row r="122" spans="2:23" ht="15.6" customHeight="1">
      <c r="B122" s="8">
        <v>2794</v>
      </c>
      <c r="C122" s="16" t="str">
        <f t="shared" si="4"/>
        <v>2794-3438</v>
      </c>
      <c r="D122" s="11">
        <v>24013438</v>
      </c>
      <c r="E122" s="8" t="str">
        <f t="shared" si="5"/>
        <v>2794 - 3438</v>
      </c>
      <c r="F122" s="12" t="s">
        <v>304</v>
      </c>
      <c r="G122" s="10">
        <v>16.2</v>
      </c>
      <c r="H122" s="8">
        <v>1</v>
      </c>
      <c r="I122" s="13">
        <v>1275.3</v>
      </c>
      <c r="J122" s="12" t="s">
        <v>50</v>
      </c>
      <c r="K122" s="8">
        <v>7101505202</v>
      </c>
      <c r="L122" s="8">
        <v>66072705610</v>
      </c>
      <c r="M122" s="12" t="s">
        <v>305</v>
      </c>
      <c r="N122" s="8" t="s">
        <v>306</v>
      </c>
      <c r="O122" s="11" t="str">
        <f t="shared" si="6"/>
        <v>59657235</v>
      </c>
      <c r="P122" s="11" t="str">
        <f t="shared" si="7"/>
        <v>59657235</v>
      </c>
      <c r="Q122" s="12" t="s">
        <v>986</v>
      </c>
      <c r="R122" s="8">
        <v>2</v>
      </c>
      <c r="S122" s="8" t="s">
        <v>966</v>
      </c>
      <c r="T122" s="8" t="s">
        <v>202</v>
      </c>
      <c r="U122" s="28">
        <f>VLOOKUP($L122,Tabla1[#All],4,FALSE)</f>
        <v>22.412486999999999</v>
      </c>
      <c r="V122" s="28">
        <f>VLOOKUP($L122,Tabla1[#All],5,FALSE)</f>
        <v>-83.704600999999997</v>
      </c>
      <c r="W122" s="43" t="s">
        <v>1717</v>
      </c>
    </row>
    <row r="123" spans="2:23" ht="15.6" customHeight="1">
      <c r="B123" s="8">
        <v>2794</v>
      </c>
      <c r="C123" s="16" t="str">
        <f t="shared" si="4"/>
        <v>2794-3439</v>
      </c>
      <c r="D123" s="11">
        <v>24013439</v>
      </c>
      <c r="E123" s="8" t="str">
        <f t="shared" si="5"/>
        <v>2794 - 3439</v>
      </c>
      <c r="F123" s="12" t="s">
        <v>307</v>
      </c>
      <c r="G123" s="10">
        <v>12.6</v>
      </c>
      <c r="H123" s="8">
        <v>1</v>
      </c>
      <c r="I123" s="13">
        <v>1048.5</v>
      </c>
      <c r="J123" s="12" t="s">
        <v>50</v>
      </c>
      <c r="K123" s="8">
        <v>7101505202</v>
      </c>
      <c r="L123" s="8">
        <v>66072705610</v>
      </c>
      <c r="M123" s="12" t="s">
        <v>305</v>
      </c>
      <c r="N123" s="8" t="s">
        <v>306</v>
      </c>
      <c r="O123" s="11" t="str">
        <f t="shared" si="6"/>
        <v>59657235</v>
      </c>
      <c r="P123" s="11" t="str">
        <f t="shared" si="7"/>
        <v>59657235</v>
      </c>
      <c r="Q123" s="12" t="s">
        <v>986</v>
      </c>
      <c r="R123" s="8">
        <v>2</v>
      </c>
      <c r="S123" s="8" t="s">
        <v>966</v>
      </c>
      <c r="T123" s="8" t="s">
        <v>202</v>
      </c>
      <c r="U123" s="28">
        <f>VLOOKUP($L123,Tabla1[#All],4,FALSE)</f>
        <v>22.412486999999999</v>
      </c>
      <c r="V123" s="28">
        <f>VLOOKUP($L123,Tabla1[#All],5,FALSE)</f>
        <v>-83.704600999999997</v>
      </c>
      <c r="W123" s="43" t="s">
        <v>1717</v>
      </c>
    </row>
    <row r="124" spans="2:23" ht="15.6" customHeight="1">
      <c r="B124" s="8">
        <v>2864</v>
      </c>
      <c r="C124" s="16" t="str">
        <f t="shared" si="4"/>
        <v>2864-3635</v>
      </c>
      <c r="D124" s="8">
        <v>24013635</v>
      </c>
      <c r="E124" s="8" t="str">
        <f t="shared" si="5"/>
        <v>2864 - 3635</v>
      </c>
      <c r="F124" s="9" t="s">
        <v>124</v>
      </c>
      <c r="G124" s="33">
        <v>26.7</v>
      </c>
      <c r="H124" s="11">
        <v>1</v>
      </c>
      <c r="I124" s="13">
        <v>2159.4</v>
      </c>
      <c r="J124" s="12" t="s">
        <v>125</v>
      </c>
      <c r="K124" s="11">
        <v>71072105384</v>
      </c>
      <c r="L124" s="11">
        <v>66073027675</v>
      </c>
      <c r="M124" s="12" t="s">
        <v>126</v>
      </c>
      <c r="N124" s="8" t="s">
        <v>127</v>
      </c>
      <c r="O124" s="11" t="str">
        <f t="shared" si="6"/>
        <v>76990547</v>
      </c>
      <c r="P124" s="11" t="str">
        <f t="shared" si="7"/>
        <v>58698410</v>
      </c>
      <c r="Q124" s="12" t="s">
        <v>887</v>
      </c>
      <c r="R124" s="8">
        <v>2</v>
      </c>
      <c r="S124" s="8" t="s">
        <v>838</v>
      </c>
      <c r="T124" s="8" t="s">
        <v>104</v>
      </c>
      <c r="U124" s="28">
        <f>VLOOKUP($L124,Tabla1[#All],4,FALSE)</f>
        <v>23.091892000000001</v>
      </c>
      <c r="V124" s="28">
        <f>VLOOKUP($L124,Tabla1[#All],5,FALSE)</f>
        <v>-82.358976999999996</v>
      </c>
      <c r="W124" s="43" t="s">
        <v>1717</v>
      </c>
    </row>
    <row r="125" spans="2:23" ht="15.6" customHeight="1">
      <c r="B125" s="8">
        <v>2783</v>
      </c>
      <c r="C125" s="16" t="str">
        <f t="shared" si="4"/>
        <v>2783-3376</v>
      </c>
      <c r="D125" s="8">
        <v>24013376</v>
      </c>
      <c r="E125" s="8" t="str">
        <f t="shared" si="5"/>
        <v>2783 - 3376</v>
      </c>
      <c r="F125" s="12" t="s">
        <v>752</v>
      </c>
      <c r="G125" s="10">
        <v>13.5</v>
      </c>
      <c r="H125" s="8">
        <v>1</v>
      </c>
      <c r="I125" s="13">
        <v>295</v>
      </c>
      <c r="J125" s="12" t="s">
        <v>50</v>
      </c>
      <c r="K125" s="8">
        <v>7101505202</v>
      </c>
      <c r="L125" s="8">
        <v>66081923746</v>
      </c>
      <c r="M125" s="12" t="s">
        <v>753</v>
      </c>
      <c r="N125" s="8" t="s">
        <v>754</v>
      </c>
      <c r="O125" s="11" t="str">
        <f t="shared" si="6"/>
        <v>55912949</v>
      </c>
      <c r="P125" s="11" t="str">
        <f t="shared" si="7"/>
        <v>55912949</v>
      </c>
      <c r="Q125" s="12" t="s">
        <v>1687</v>
      </c>
      <c r="R125" s="8">
        <v>2</v>
      </c>
      <c r="S125" s="8" t="s">
        <v>966</v>
      </c>
      <c r="T125" s="8" t="s">
        <v>202</v>
      </c>
      <c r="U125" s="28">
        <f>VLOOKUP($L125,Tabla1[#All],4,FALSE)</f>
        <v>22.4163408</v>
      </c>
      <c r="V125" s="28">
        <f>VLOOKUP($L125,Tabla1[#All],5,FALSE)</f>
        <v>-83.698278400000007</v>
      </c>
      <c r="W125" s="43" t="s">
        <v>1717</v>
      </c>
    </row>
    <row r="126" spans="2:23" ht="15.6" customHeight="1">
      <c r="B126" s="8">
        <v>2864</v>
      </c>
      <c r="C126" s="16" t="str">
        <f t="shared" si="4"/>
        <v>2864-3636</v>
      </c>
      <c r="D126" s="8">
        <v>24013636</v>
      </c>
      <c r="E126" s="8" t="str">
        <f t="shared" si="5"/>
        <v>2864 - 3636</v>
      </c>
      <c r="F126" s="9" t="s">
        <v>114</v>
      </c>
      <c r="G126" s="33">
        <v>16.100000000000001</v>
      </c>
      <c r="H126" s="11">
        <v>1</v>
      </c>
      <c r="I126" s="13">
        <v>1275.3</v>
      </c>
      <c r="J126" s="12" t="s">
        <v>115</v>
      </c>
      <c r="K126" s="11">
        <v>71072105384</v>
      </c>
      <c r="L126" s="11">
        <v>66083001825</v>
      </c>
      <c r="M126" s="12" t="s">
        <v>116</v>
      </c>
      <c r="N126" s="8" t="s">
        <v>117</v>
      </c>
      <c r="O126" s="11" t="str">
        <f t="shared" si="6"/>
        <v>78738387</v>
      </c>
      <c r="P126" s="11" t="str">
        <f t="shared" si="7"/>
        <v>52760845</v>
      </c>
      <c r="Q126" s="12" t="s">
        <v>878</v>
      </c>
      <c r="R126" s="8">
        <v>2</v>
      </c>
      <c r="S126" s="8" t="s">
        <v>842</v>
      </c>
      <c r="T126" s="8" t="s">
        <v>104</v>
      </c>
      <c r="U126" s="28">
        <f>VLOOKUP($L126,Tabla1[#All],4,FALSE)</f>
        <v>23.142116000000001</v>
      </c>
      <c r="V126" s="28">
        <f>VLOOKUP($L126,Tabla1[#All],5,FALSE)</f>
        <v>-82.377350000000007</v>
      </c>
      <c r="W126" s="43" t="s">
        <v>1717</v>
      </c>
    </row>
    <row r="127" spans="2:23" ht="15.6" customHeight="1">
      <c r="B127" s="8">
        <v>2794</v>
      </c>
      <c r="C127" s="16" t="str">
        <f t="shared" si="4"/>
        <v>2794-3425</v>
      </c>
      <c r="D127" s="11">
        <v>24013425</v>
      </c>
      <c r="E127" s="8" t="str">
        <f t="shared" si="5"/>
        <v>2794 - 3425</v>
      </c>
      <c r="F127" s="12" t="s">
        <v>277</v>
      </c>
      <c r="G127" s="10">
        <v>15.7</v>
      </c>
      <c r="H127" s="8">
        <v>1</v>
      </c>
      <c r="I127" s="13">
        <v>1199.7</v>
      </c>
      <c r="J127" s="12" t="s">
        <v>50</v>
      </c>
      <c r="K127" s="8">
        <v>7101505202</v>
      </c>
      <c r="L127" s="8">
        <v>66100730080</v>
      </c>
      <c r="M127" s="12" t="s">
        <v>278</v>
      </c>
      <c r="N127" s="8" t="s">
        <v>279</v>
      </c>
      <c r="O127" s="11" t="str">
        <f t="shared" si="6"/>
        <v>58518743</v>
      </c>
      <c r="P127" s="11" t="str">
        <f t="shared" si="7"/>
        <v>58518743</v>
      </c>
      <c r="Q127" s="12" t="s">
        <v>865</v>
      </c>
      <c r="R127" s="8">
        <v>2</v>
      </c>
      <c r="S127" s="8" t="s">
        <v>864</v>
      </c>
      <c r="T127" s="8" t="s">
        <v>63</v>
      </c>
      <c r="U127" s="28">
        <f>VLOOKUP($L127,Tabla1[#All],4,FALSE)</f>
        <v>22.277000000000001</v>
      </c>
      <c r="V127" s="28">
        <f>VLOOKUP($L127,Tabla1[#All],5,FALSE)</f>
        <v>-80.565066000000002</v>
      </c>
      <c r="W127" s="43" t="s">
        <v>1718</v>
      </c>
    </row>
    <row r="128" spans="2:23" ht="15.6" customHeight="1">
      <c r="B128" s="8">
        <v>2794</v>
      </c>
      <c r="C128" s="16" t="str">
        <f t="shared" si="4"/>
        <v>2794-3426</v>
      </c>
      <c r="D128" s="11">
        <v>24013426</v>
      </c>
      <c r="E128" s="8" t="str">
        <f t="shared" si="5"/>
        <v>2794 - 3426</v>
      </c>
      <c r="F128" s="12" t="s">
        <v>280</v>
      </c>
      <c r="G128" s="10">
        <v>23.5</v>
      </c>
      <c r="H128" s="8">
        <v>1</v>
      </c>
      <c r="I128" s="13">
        <v>1932.6</v>
      </c>
      <c r="J128" s="12" t="s">
        <v>50</v>
      </c>
      <c r="K128" s="8">
        <v>7101505202</v>
      </c>
      <c r="L128" s="8">
        <v>66100730080</v>
      </c>
      <c r="M128" s="12" t="s">
        <v>278</v>
      </c>
      <c r="N128" s="8" t="s">
        <v>279</v>
      </c>
      <c r="O128" s="11" t="str">
        <f t="shared" si="6"/>
        <v>58518743</v>
      </c>
      <c r="P128" s="11" t="str">
        <f t="shared" si="7"/>
        <v>58518743</v>
      </c>
      <c r="Q128" s="12" t="s">
        <v>865</v>
      </c>
      <c r="R128" s="8">
        <v>2</v>
      </c>
      <c r="S128" s="8" t="s">
        <v>864</v>
      </c>
      <c r="T128" s="8" t="s">
        <v>63</v>
      </c>
      <c r="U128" s="28">
        <f>VLOOKUP($L128,Tabla1[#All],4,FALSE)</f>
        <v>22.277000000000001</v>
      </c>
      <c r="V128" s="28">
        <f>VLOOKUP($L128,Tabla1[#All],5,FALSE)</f>
        <v>-80.565066000000002</v>
      </c>
      <c r="W128" s="43" t="s">
        <v>1718</v>
      </c>
    </row>
    <row r="129" spans="2:23" ht="15.6" customHeight="1">
      <c r="B129" s="8">
        <v>2783</v>
      </c>
      <c r="C129" s="16" t="str">
        <f t="shared" si="4"/>
        <v>2783-3350</v>
      </c>
      <c r="D129" s="8">
        <v>24013350</v>
      </c>
      <c r="E129" s="8" t="str">
        <f t="shared" si="5"/>
        <v>2783 - 3350</v>
      </c>
      <c r="F129" s="12" t="s">
        <v>682</v>
      </c>
      <c r="G129" s="10">
        <v>24.6</v>
      </c>
      <c r="H129" s="8">
        <v>1</v>
      </c>
      <c r="I129" s="13">
        <v>2159.4</v>
      </c>
      <c r="J129" s="12" t="s">
        <v>50</v>
      </c>
      <c r="K129" s="8">
        <v>7101505202</v>
      </c>
      <c r="L129" s="8">
        <v>66111310932</v>
      </c>
      <c r="M129" s="12" t="s">
        <v>683</v>
      </c>
      <c r="N129" s="8" t="s">
        <v>684</v>
      </c>
      <c r="O129" s="11" t="str">
        <f t="shared" si="6"/>
        <v>58081501</v>
      </c>
      <c r="P129" s="11" t="str">
        <f t="shared" si="7"/>
        <v>58081501</v>
      </c>
      <c r="Q129" s="12" t="s">
        <v>1008</v>
      </c>
      <c r="R129" s="8">
        <v>2</v>
      </c>
      <c r="S129" s="8" t="s">
        <v>997</v>
      </c>
      <c r="T129" s="8" t="s">
        <v>1012</v>
      </c>
      <c r="U129" s="28">
        <f>VLOOKUP($L129,Tabla1[#All],4,FALSE)</f>
        <v>20.144341000000001</v>
      </c>
      <c r="V129" s="28">
        <f>VLOOKUP($L129,Tabla1[#All],5,FALSE)</f>
        <v>-75.204724999999996</v>
      </c>
      <c r="W129" s="43" t="s">
        <v>1717</v>
      </c>
    </row>
    <row r="130" spans="2:23" ht="15.6" customHeight="1">
      <c r="B130" s="8">
        <v>2794</v>
      </c>
      <c r="C130" s="16" t="str">
        <f t="shared" si="4"/>
        <v>2794-3453</v>
      </c>
      <c r="D130" s="11">
        <v>24013453</v>
      </c>
      <c r="E130" s="8" t="str">
        <f t="shared" si="5"/>
        <v>2794 - 3453</v>
      </c>
      <c r="F130" s="12" t="s">
        <v>585</v>
      </c>
      <c r="G130" s="55">
        <v>12.8</v>
      </c>
      <c r="H130" s="8">
        <v>1</v>
      </c>
      <c r="I130" s="13">
        <v>1048.5</v>
      </c>
      <c r="J130" s="12" t="s">
        <v>50</v>
      </c>
      <c r="K130" s="8">
        <v>7101505202</v>
      </c>
      <c r="L130" s="8">
        <v>66122502681</v>
      </c>
      <c r="M130" s="12" t="s">
        <v>332</v>
      </c>
      <c r="N130" s="8" t="s">
        <v>331</v>
      </c>
      <c r="O130" s="11" t="str">
        <f t="shared" si="6"/>
        <v>50818720</v>
      </c>
      <c r="P130" s="11" t="str">
        <f t="shared" si="7"/>
        <v>50818720</v>
      </c>
      <c r="Q130" s="12" t="s">
        <v>893</v>
      </c>
      <c r="R130" s="8">
        <v>2</v>
      </c>
      <c r="S130" s="8" t="s">
        <v>837</v>
      </c>
      <c r="T130" s="8" t="s">
        <v>104</v>
      </c>
      <c r="U130" s="28">
        <f>VLOOKUP($L130,Tabla1[#All],4,FALSE)</f>
        <v>23.077973</v>
      </c>
      <c r="V130" s="28">
        <f>VLOOKUP($L130,Tabla1[#All],5,FALSE)</f>
        <v>-82.508910999999998</v>
      </c>
      <c r="W130" s="43" t="s">
        <v>1717</v>
      </c>
    </row>
    <row r="131" spans="2:23" ht="15.6" customHeight="1">
      <c r="B131" s="8">
        <v>2794</v>
      </c>
      <c r="C131" s="16" t="str">
        <f t="shared" ref="C131:C194" si="8">CONCATENATE(B131,"-",RIGHT(D131,4))</f>
        <v>2794-3484</v>
      </c>
      <c r="D131" s="11">
        <v>24013484</v>
      </c>
      <c r="E131" s="8" t="str">
        <f t="shared" ref="E131:E194" si="9">CONCATENATE(B131," - ",RIGHT(D131,4))</f>
        <v>2794 - 3484</v>
      </c>
      <c r="F131" s="12" t="s">
        <v>395</v>
      </c>
      <c r="G131" s="10">
        <v>10.8</v>
      </c>
      <c r="H131" s="8">
        <v>1</v>
      </c>
      <c r="I131" s="13">
        <v>897.3</v>
      </c>
      <c r="J131" s="12" t="s">
        <v>50</v>
      </c>
      <c r="K131" s="8">
        <v>7101505202</v>
      </c>
      <c r="L131" s="8">
        <v>67012307061</v>
      </c>
      <c r="M131" s="12" t="s">
        <v>396</v>
      </c>
      <c r="N131" s="8" t="s">
        <v>397</v>
      </c>
      <c r="O131" s="11" t="str">
        <f t="shared" ref="O131:O194" si="10">LEFT(N131,8)</f>
        <v>56170491</v>
      </c>
      <c r="P131" s="11" t="str">
        <f t="shared" ref="P131:P194" si="11">RIGHT(N131,8)</f>
        <v>56170491</v>
      </c>
      <c r="Q131" s="12" t="s">
        <v>1031</v>
      </c>
      <c r="R131" s="8">
        <v>2</v>
      </c>
      <c r="S131" s="8" t="s">
        <v>999</v>
      </c>
      <c r="T131" s="8" t="s">
        <v>79</v>
      </c>
      <c r="U131" s="28">
        <f>VLOOKUP($L131,Tabla1[#All],4,FALSE)</f>
        <v>20.366567</v>
      </c>
      <c r="V131" s="28">
        <f>VLOOKUP($L131,Tabla1[#All],5,FALSE)</f>
        <v>-75.913719999999998</v>
      </c>
      <c r="W131" s="43" t="s">
        <v>1717</v>
      </c>
    </row>
    <row r="132" spans="2:23" s="41" customFormat="1" ht="15.6" customHeight="1">
      <c r="B132" s="8">
        <v>2794</v>
      </c>
      <c r="C132" s="16" t="str">
        <f t="shared" si="8"/>
        <v>2794-3485</v>
      </c>
      <c r="D132" s="11">
        <v>24013485</v>
      </c>
      <c r="E132" s="8" t="str">
        <f t="shared" si="9"/>
        <v>2794 - 3485</v>
      </c>
      <c r="F132" s="12" t="s">
        <v>573</v>
      </c>
      <c r="G132" s="10">
        <v>9.5</v>
      </c>
      <c r="H132" s="8">
        <v>1</v>
      </c>
      <c r="I132" s="13">
        <v>295</v>
      </c>
      <c r="J132" s="12" t="s">
        <v>50</v>
      </c>
      <c r="K132" s="8">
        <v>7101505202</v>
      </c>
      <c r="L132" s="8">
        <v>67012307061</v>
      </c>
      <c r="M132" s="12" t="s">
        <v>396</v>
      </c>
      <c r="N132" s="8" t="s">
        <v>397</v>
      </c>
      <c r="O132" s="11" t="str">
        <f t="shared" si="10"/>
        <v>56170491</v>
      </c>
      <c r="P132" s="11" t="str">
        <f t="shared" si="11"/>
        <v>56170491</v>
      </c>
      <c r="Q132" s="12" t="s">
        <v>1031</v>
      </c>
      <c r="R132" s="8">
        <v>2</v>
      </c>
      <c r="S132" s="8" t="s">
        <v>999</v>
      </c>
      <c r="T132" s="8" t="s">
        <v>79</v>
      </c>
      <c r="U132" s="28">
        <f>VLOOKUP($L132,Tabla1[#All],4,FALSE)</f>
        <v>20.366567</v>
      </c>
      <c r="V132" s="28">
        <f>VLOOKUP($L132,Tabla1[#All],5,FALSE)</f>
        <v>-75.913719999999998</v>
      </c>
      <c r="W132" s="43" t="s">
        <v>1717</v>
      </c>
    </row>
    <row r="133" spans="2:23" ht="15.6" customHeight="1">
      <c r="B133" s="8">
        <v>2794</v>
      </c>
      <c r="C133" s="16" t="str">
        <f t="shared" si="8"/>
        <v>2794-3563</v>
      </c>
      <c r="D133" s="11">
        <v>24013563</v>
      </c>
      <c r="E133" s="8" t="str">
        <f t="shared" si="9"/>
        <v>2794 - 3563</v>
      </c>
      <c r="F133" s="12" t="s">
        <v>533</v>
      </c>
      <c r="G133" s="10">
        <v>23.5</v>
      </c>
      <c r="H133" s="8">
        <v>1</v>
      </c>
      <c r="I133" s="13">
        <v>1932.6</v>
      </c>
      <c r="J133" s="12" t="s">
        <v>50</v>
      </c>
      <c r="K133" s="8">
        <v>7101505202</v>
      </c>
      <c r="L133" s="8">
        <v>67081917451</v>
      </c>
      <c r="M133" s="12" t="s">
        <v>534</v>
      </c>
      <c r="N133" s="8" t="s">
        <v>535</v>
      </c>
      <c r="O133" s="11" t="str">
        <f t="shared" si="10"/>
        <v>53595102</v>
      </c>
      <c r="P133" s="11" t="str">
        <f t="shared" si="11"/>
        <v>53595102</v>
      </c>
      <c r="Q133" s="12" t="s">
        <v>1029</v>
      </c>
      <c r="R133" s="8">
        <v>2</v>
      </c>
      <c r="S133" s="8" t="s">
        <v>1001</v>
      </c>
      <c r="T133" s="8" t="s">
        <v>79</v>
      </c>
      <c r="U133" s="28">
        <f>VLOOKUP($L133,Tabla1[#All],4,FALSE)</f>
        <v>20.19041</v>
      </c>
      <c r="V133" s="28">
        <f>VLOOKUP($L133,Tabla1[#All],5,FALSE)</f>
        <v>-75.147661999999997</v>
      </c>
      <c r="W133" s="43" t="s">
        <v>1717</v>
      </c>
    </row>
    <row r="134" spans="2:23" ht="15.6" customHeight="1">
      <c r="B134" s="8">
        <v>2794</v>
      </c>
      <c r="C134" s="16" t="str">
        <f t="shared" si="8"/>
        <v>2794-3564</v>
      </c>
      <c r="D134" s="11">
        <v>24013564</v>
      </c>
      <c r="E134" s="8" t="str">
        <f t="shared" si="9"/>
        <v>2794 - 3564</v>
      </c>
      <c r="F134" s="12" t="s">
        <v>533</v>
      </c>
      <c r="G134" s="10">
        <v>11.5</v>
      </c>
      <c r="H134" s="8">
        <v>1</v>
      </c>
      <c r="I134" s="13">
        <v>1124.0999999999999</v>
      </c>
      <c r="J134" s="12" t="s">
        <v>50</v>
      </c>
      <c r="K134" s="8">
        <v>7101505202</v>
      </c>
      <c r="L134" s="8">
        <v>67081917451</v>
      </c>
      <c r="M134" s="12" t="s">
        <v>534</v>
      </c>
      <c r="N134" s="8" t="s">
        <v>535</v>
      </c>
      <c r="O134" s="11" t="str">
        <f t="shared" si="10"/>
        <v>53595102</v>
      </c>
      <c r="P134" s="11" t="str">
        <f t="shared" si="11"/>
        <v>53595102</v>
      </c>
      <c r="Q134" s="12" t="s">
        <v>1029</v>
      </c>
      <c r="R134" s="8">
        <v>2</v>
      </c>
      <c r="S134" s="8" t="s">
        <v>1001</v>
      </c>
      <c r="T134" s="8" t="s">
        <v>79</v>
      </c>
      <c r="U134" s="28">
        <f>VLOOKUP($L134,Tabla1[#All],4,FALSE)</f>
        <v>20.19041</v>
      </c>
      <c r="V134" s="28">
        <f>VLOOKUP($L134,Tabla1[#All],5,FALSE)</f>
        <v>-75.147661999999997</v>
      </c>
      <c r="W134" s="43" t="s">
        <v>1717</v>
      </c>
    </row>
    <row r="135" spans="2:23" ht="15.6" customHeight="1">
      <c r="B135" s="8">
        <v>2794</v>
      </c>
      <c r="C135" s="16" t="str">
        <f t="shared" si="8"/>
        <v>2794-3488</v>
      </c>
      <c r="D135" s="11">
        <v>24013488</v>
      </c>
      <c r="E135" s="8" t="str">
        <f t="shared" si="9"/>
        <v>2794 - 3488</v>
      </c>
      <c r="F135" s="12" t="s">
        <v>402</v>
      </c>
      <c r="G135" s="10">
        <v>17.600000000000001</v>
      </c>
      <c r="H135" s="8">
        <v>1</v>
      </c>
      <c r="I135" s="13">
        <v>1426.5</v>
      </c>
      <c r="J135" s="12" t="s">
        <v>50</v>
      </c>
      <c r="K135" s="8">
        <v>7101505202</v>
      </c>
      <c r="L135" s="8">
        <v>68032608135</v>
      </c>
      <c r="M135" s="12" t="s">
        <v>403</v>
      </c>
      <c r="N135" s="8" t="s">
        <v>404</v>
      </c>
      <c r="O135" s="11" t="str">
        <f t="shared" si="10"/>
        <v>56130670</v>
      </c>
      <c r="P135" s="11" t="str">
        <f t="shared" si="11"/>
        <v>56130670</v>
      </c>
      <c r="Q135" s="12" t="s">
        <v>979</v>
      </c>
      <c r="R135" s="8">
        <v>2</v>
      </c>
      <c r="S135" s="8" t="s">
        <v>967</v>
      </c>
      <c r="T135" s="8" t="s">
        <v>202</v>
      </c>
      <c r="U135" s="28">
        <f>VLOOKUP($L135,Tabla1[#All],4,FALSE)</f>
        <v>22.516389</v>
      </c>
      <c r="V135" s="28">
        <f>VLOOKUP($L135,Tabla1[#All],5,FALSE)</f>
        <v>-83.414315999999999</v>
      </c>
      <c r="W135" s="43" t="s">
        <v>1717</v>
      </c>
    </row>
    <row r="136" spans="2:23" ht="15.6" customHeight="1">
      <c r="B136" s="8">
        <v>2794</v>
      </c>
      <c r="C136" s="16" t="str">
        <f t="shared" si="8"/>
        <v>2794-3442</v>
      </c>
      <c r="D136" s="11">
        <v>24013442</v>
      </c>
      <c r="E136" s="8" t="str">
        <f t="shared" si="9"/>
        <v>2794 - 3442</v>
      </c>
      <c r="F136" s="12" t="s">
        <v>312</v>
      </c>
      <c r="G136" s="10">
        <v>25.8</v>
      </c>
      <c r="H136" s="8">
        <v>1</v>
      </c>
      <c r="I136" s="13">
        <v>1932.6</v>
      </c>
      <c r="J136" s="12" t="s">
        <v>50</v>
      </c>
      <c r="K136" s="8">
        <v>7101505202</v>
      </c>
      <c r="L136" s="8">
        <v>68053112019</v>
      </c>
      <c r="M136" s="12" t="s">
        <v>313</v>
      </c>
      <c r="N136" s="8" t="s">
        <v>314</v>
      </c>
      <c r="O136" s="11" t="str">
        <f t="shared" si="10"/>
        <v>54690030</v>
      </c>
      <c r="P136" s="11" t="str">
        <f t="shared" si="11"/>
        <v>54690030</v>
      </c>
      <c r="Q136" s="12" t="s">
        <v>1027</v>
      </c>
      <c r="R136" s="8">
        <v>2</v>
      </c>
      <c r="S136" s="8" t="s">
        <v>994</v>
      </c>
      <c r="T136" s="8" t="s">
        <v>79</v>
      </c>
      <c r="U136" s="28">
        <f>VLOOKUP($L136,Tabla1[#All],4,FALSE)</f>
        <v>20.039694000000001</v>
      </c>
      <c r="V136" s="28">
        <f>VLOOKUP($L136,Tabla1[#All],5,FALSE)</f>
        <v>-75.835229999999996</v>
      </c>
      <c r="W136" s="43" t="s">
        <v>1717</v>
      </c>
    </row>
    <row r="137" spans="2:23" s="41" customFormat="1" ht="15.6" customHeight="1">
      <c r="B137" s="8">
        <v>2783</v>
      </c>
      <c r="C137" s="16" t="str">
        <f t="shared" si="8"/>
        <v>2783-3332</v>
      </c>
      <c r="D137" s="8">
        <v>24013332</v>
      </c>
      <c r="E137" s="8" t="str">
        <f t="shared" si="9"/>
        <v>2783 - 3332</v>
      </c>
      <c r="F137" s="12" t="s">
        <v>643</v>
      </c>
      <c r="G137" s="10">
        <v>34.4</v>
      </c>
      <c r="H137" s="8">
        <v>1</v>
      </c>
      <c r="I137" s="13">
        <v>2764.2</v>
      </c>
      <c r="J137" s="12" t="s">
        <v>50</v>
      </c>
      <c r="K137" s="8">
        <v>7101505202</v>
      </c>
      <c r="L137" s="8">
        <v>68110729518</v>
      </c>
      <c r="M137" s="12" t="s">
        <v>644</v>
      </c>
      <c r="N137" s="8" t="s">
        <v>645</v>
      </c>
      <c r="O137" s="11" t="str">
        <f t="shared" si="10"/>
        <v>58542079</v>
      </c>
      <c r="P137" s="11" t="str">
        <f t="shared" si="11"/>
        <v>58542079</v>
      </c>
      <c r="Q137" s="12" t="s">
        <v>971</v>
      </c>
      <c r="R137" s="8">
        <v>2</v>
      </c>
      <c r="S137" s="8" t="s">
        <v>966</v>
      </c>
      <c r="T137" s="8" t="s">
        <v>202</v>
      </c>
      <c r="U137" s="28">
        <f>VLOOKUP($L137,Tabla1[#All],4,FALSE)</f>
        <v>22.411100999999999</v>
      </c>
      <c r="V137" s="28">
        <f>VLOOKUP($L137,Tabla1[#All],5,FALSE)</f>
        <v>-83.705669999999998</v>
      </c>
      <c r="W137" s="43" t="s">
        <v>1717</v>
      </c>
    </row>
    <row r="138" spans="2:23" ht="15.6" customHeight="1">
      <c r="B138" s="8">
        <v>2783</v>
      </c>
      <c r="C138" s="16" t="str">
        <f t="shared" si="8"/>
        <v>2783-3390</v>
      </c>
      <c r="D138" s="8">
        <v>24013390</v>
      </c>
      <c r="E138" s="8" t="str">
        <f t="shared" si="9"/>
        <v>2783 - 3390</v>
      </c>
      <c r="F138" s="12" t="s">
        <v>786</v>
      </c>
      <c r="G138" s="10">
        <v>21.2</v>
      </c>
      <c r="H138" s="8">
        <v>1</v>
      </c>
      <c r="I138" s="13">
        <v>1705.8</v>
      </c>
      <c r="J138" s="12" t="s">
        <v>50</v>
      </c>
      <c r="K138" s="8">
        <v>7101505202</v>
      </c>
      <c r="L138" s="8">
        <v>68110729518</v>
      </c>
      <c r="M138" s="12" t="s">
        <v>644</v>
      </c>
      <c r="N138" s="8" t="s">
        <v>645</v>
      </c>
      <c r="O138" s="11" t="str">
        <f t="shared" si="10"/>
        <v>58542079</v>
      </c>
      <c r="P138" s="11" t="str">
        <f t="shared" si="11"/>
        <v>58542079</v>
      </c>
      <c r="Q138" s="12" t="s">
        <v>971</v>
      </c>
      <c r="R138" s="8">
        <v>2</v>
      </c>
      <c r="S138" s="8" t="s">
        <v>966</v>
      </c>
      <c r="T138" s="8" t="s">
        <v>202</v>
      </c>
      <c r="U138" s="28">
        <f>VLOOKUP($L138,Tabla1[#All],4,FALSE)</f>
        <v>22.411100999999999</v>
      </c>
      <c r="V138" s="28">
        <f>VLOOKUP($L138,Tabla1[#All],5,FALSE)</f>
        <v>-83.705669999999998</v>
      </c>
      <c r="W138" s="43" t="s">
        <v>1717</v>
      </c>
    </row>
    <row r="139" spans="2:23" s="41" customFormat="1" ht="15.6" customHeight="1">
      <c r="B139" s="8">
        <v>2794</v>
      </c>
      <c r="C139" s="16" t="str">
        <f t="shared" si="8"/>
        <v>2794-3497</v>
      </c>
      <c r="D139" s="11">
        <v>24013497</v>
      </c>
      <c r="E139" s="8" t="str">
        <f t="shared" si="9"/>
        <v>2794 - 3497</v>
      </c>
      <c r="F139" s="12" t="s">
        <v>417</v>
      </c>
      <c r="G139" s="10">
        <v>22</v>
      </c>
      <c r="H139" s="8">
        <v>1</v>
      </c>
      <c r="I139" s="13">
        <v>1781.4</v>
      </c>
      <c r="J139" s="12" t="s">
        <v>50</v>
      </c>
      <c r="K139" s="8">
        <v>7101505202</v>
      </c>
      <c r="L139" s="8">
        <v>69020608495</v>
      </c>
      <c r="M139" s="12" t="s">
        <v>418</v>
      </c>
      <c r="N139" s="8" t="s">
        <v>419</v>
      </c>
      <c r="O139" s="11" t="str">
        <f t="shared" si="10"/>
        <v>55238198</v>
      </c>
      <c r="P139" s="11" t="str">
        <f t="shared" si="11"/>
        <v>55238198</v>
      </c>
      <c r="Q139" s="12" t="s">
        <v>981</v>
      </c>
      <c r="R139" s="8">
        <v>2</v>
      </c>
      <c r="S139" s="8" t="s">
        <v>968</v>
      </c>
      <c r="T139" s="8" t="s">
        <v>202</v>
      </c>
      <c r="U139" s="28">
        <f>VLOOKUP($L139,Tabla1[#All],4,FALSE)</f>
        <v>22.451699000000001</v>
      </c>
      <c r="V139" s="28">
        <f>VLOOKUP($L139,Tabla1[#All],5,FALSE)</f>
        <v>-83.904520000000005</v>
      </c>
      <c r="W139" s="43" t="s">
        <v>1717</v>
      </c>
    </row>
    <row r="140" spans="2:23" ht="15.6" customHeight="1">
      <c r="B140" s="8">
        <v>2794</v>
      </c>
      <c r="C140" s="16" t="str">
        <f t="shared" si="8"/>
        <v>2794-3456</v>
      </c>
      <c r="D140" s="11">
        <v>24013456</v>
      </c>
      <c r="E140" s="8" t="str">
        <f t="shared" si="9"/>
        <v>2794 - 3456</v>
      </c>
      <c r="F140" s="12" t="s">
        <v>337</v>
      </c>
      <c r="G140" s="10">
        <v>4.8</v>
      </c>
      <c r="H140" s="8">
        <v>1</v>
      </c>
      <c r="I140" s="13">
        <v>519.29999999999995</v>
      </c>
      <c r="J140" s="12" t="s">
        <v>50</v>
      </c>
      <c r="K140" s="8">
        <v>7101505202</v>
      </c>
      <c r="L140" s="8">
        <v>69022813965</v>
      </c>
      <c r="M140" s="12" t="s">
        <v>338</v>
      </c>
      <c r="N140" s="8" t="s">
        <v>339</v>
      </c>
      <c r="O140" s="11" t="str">
        <f t="shared" si="10"/>
        <v>51688751</v>
      </c>
      <c r="P140" s="11" t="str">
        <f t="shared" si="11"/>
        <v>51688751</v>
      </c>
      <c r="Q140" s="12" t="s">
        <v>948</v>
      </c>
      <c r="R140" s="8">
        <v>2</v>
      </c>
      <c r="S140" s="8" t="s">
        <v>912</v>
      </c>
      <c r="T140" s="8" t="s">
        <v>69</v>
      </c>
      <c r="U140" s="28">
        <f>VLOOKUP($L140,Tabla1[#All],4,FALSE)</f>
        <v>20.893862500000001</v>
      </c>
      <c r="V140" s="28">
        <f>VLOOKUP($L140,Tabla1[#All],5,FALSE)</f>
        <v>-76.253245699999994</v>
      </c>
      <c r="W140" s="43" t="s">
        <v>1717</v>
      </c>
    </row>
    <row r="141" spans="2:23" ht="15.6" customHeight="1">
      <c r="B141" s="8">
        <v>2794</v>
      </c>
      <c r="C141" s="16" t="str">
        <f t="shared" si="8"/>
        <v>2794-3505</v>
      </c>
      <c r="D141" s="11">
        <v>24013505</v>
      </c>
      <c r="E141" s="8" t="str">
        <f t="shared" si="9"/>
        <v>2794 - 3505</v>
      </c>
      <c r="F141" s="12" t="s">
        <v>562</v>
      </c>
      <c r="G141" s="10">
        <v>20.399999999999999</v>
      </c>
      <c r="H141" s="8">
        <v>1</v>
      </c>
      <c r="I141" s="13">
        <v>295</v>
      </c>
      <c r="J141" s="12" t="s">
        <v>50</v>
      </c>
      <c r="K141" s="8">
        <v>7101505202</v>
      </c>
      <c r="L141" s="8">
        <v>69053014976</v>
      </c>
      <c r="M141" s="12" t="s">
        <v>434</v>
      </c>
      <c r="N141" s="8" t="s">
        <v>435</v>
      </c>
      <c r="O141" s="11" t="str">
        <f t="shared" si="10"/>
        <v>52769658</v>
      </c>
      <c r="P141" s="11" t="str">
        <f t="shared" si="11"/>
        <v>52769658</v>
      </c>
      <c r="Q141" s="12" t="s">
        <v>1081</v>
      </c>
      <c r="R141" s="8">
        <v>2</v>
      </c>
      <c r="S141" s="8" t="s">
        <v>1042</v>
      </c>
      <c r="T141" s="8" t="s">
        <v>211</v>
      </c>
      <c r="U141" s="28">
        <f>VLOOKUP($L141,Tabla1[#All],4,FALSE)</f>
        <v>22.399381000000002</v>
      </c>
      <c r="V141" s="28">
        <f>VLOOKUP($L141,Tabla1[#All],5,FALSE)</f>
        <v>-79.958901999999995</v>
      </c>
      <c r="W141" s="43" t="s">
        <v>1718</v>
      </c>
    </row>
    <row r="142" spans="2:23" ht="15.6" customHeight="1">
      <c r="B142" s="8">
        <v>2794</v>
      </c>
      <c r="C142" s="16" t="str">
        <f t="shared" si="8"/>
        <v>2794-3462</v>
      </c>
      <c r="D142" s="11">
        <v>24013462</v>
      </c>
      <c r="E142" s="8" t="str">
        <f t="shared" si="9"/>
        <v>2794 - 3462</v>
      </c>
      <c r="F142" s="12" t="s">
        <v>583</v>
      </c>
      <c r="G142" s="10">
        <v>24</v>
      </c>
      <c r="H142" s="8">
        <v>1</v>
      </c>
      <c r="I142" s="13">
        <v>2008.2</v>
      </c>
      <c r="J142" s="12" t="s">
        <v>50</v>
      </c>
      <c r="K142" s="8">
        <v>7101505202</v>
      </c>
      <c r="L142" s="8">
        <v>69062118583</v>
      </c>
      <c r="M142" s="12" t="s">
        <v>353</v>
      </c>
      <c r="N142" s="8" t="s">
        <v>354</v>
      </c>
      <c r="O142" s="11" t="str">
        <f t="shared" si="10"/>
        <v>52188331</v>
      </c>
      <c r="P142" s="11" t="str">
        <f t="shared" si="11"/>
        <v>52188331</v>
      </c>
      <c r="Q142" s="12" t="s">
        <v>1021</v>
      </c>
      <c r="R142" s="8">
        <v>2</v>
      </c>
      <c r="S142" s="8" t="s">
        <v>996</v>
      </c>
      <c r="T142" s="8" t="s">
        <v>79</v>
      </c>
      <c r="U142" s="28">
        <f>VLOOKUP($L142,Tabla1[#All],4,FALSE)</f>
        <v>20.299901999999999</v>
      </c>
      <c r="V142" s="28">
        <f>VLOOKUP($L142,Tabla1[#All],5,FALSE)</f>
        <v>-76.243095999999994</v>
      </c>
      <c r="W142" s="43" t="s">
        <v>1717</v>
      </c>
    </row>
    <row r="143" spans="2:23" ht="15.6" customHeight="1">
      <c r="B143" s="8">
        <v>2794</v>
      </c>
      <c r="C143" s="16" t="str">
        <f t="shared" si="8"/>
        <v>2794-3463</v>
      </c>
      <c r="D143" s="11">
        <v>24013463</v>
      </c>
      <c r="E143" s="8" t="str">
        <f t="shared" si="9"/>
        <v>2794 - 3463</v>
      </c>
      <c r="F143" s="12" t="s">
        <v>355</v>
      </c>
      <c r="G143" s="10">
        <v>20.3</v>
      </c>
      <c r="H143" s="8">
        <v>1</v>
      </c>
      <c r="I143" s="13">
        <v>295</v>
      </c>
      <c r="J143" s="12" t="s">
        <v>50</v>
      </c>
      <c r="K143" s="8">
        <v>7101505202</v>
      </c>
      <c r="L143" s="8">
        <v>69062118583</v>
      </c>
      <c r="M143" s="12" t="s">
        <v>353</v>
      </c>
      <c r="N143" s="8" t="s">
        <v>354</v>
      </c>
      <c r="O143" s="11" t="str">
        <f t="shared" si="10"/>
        <v>52188331</v>
      </c>
      <c r="P143" s="11" t="str">
        <f t="shared" si="11"/>
        <v>52188331</v>
      </c>
      <c r="Q143" s="12" t="s">
        <v>1021</v>
      </c>
      <c r="R143" s="8">
        <v>2</v>
      </c>
      <c r="S143" s="8" t="s">
        <v>996</v>
      </c>
      <c r="T143" s="8" t="s">
        <v>79</v>
      </c>
      <c r="U143" s="28">
        <f>VLOOKUP($L143,Tabla1[#All],4,FALSE)</f>
        <v>20.299901999999999</v>
      </c>
      <c r="V143" s="28">
        <f>VLOOKUP($L143,Tabla1[#All],5,FALSE)</f>
        <v>-76.243095999999994</v>
      </c>
      <c r="W143" s="43" t="s">
        <v>1717</v>
      </c>
    </row>
    <row r="144" spans="2:23" ht="15.6" customHeight="1">
      <c r="B144" s="8">
        <v>2794</v>
      </c>
      <c r="C144" s="16" t="str">
        <f t="shared" si="8"/>
        <v>2794-3479</v>
      </c>
      <c r="D144" s="11">
        <v>24013479</v>
      </c>
      <c r="E144" s="8" t="str">
        <f t="shared" si="9"/>
        <v>2794 - 3479</v>
      </c>
      <c r="F144" s="12" t="s">
        <v>577</v>
      </c>
      <c r="G144" s="33">
        <v>5.9</v>
      </c>
      <c r="H144" s="8">
        <v>1</v>
      </c>
      <c r="I144" s="13">
        <v>295</v>
      </c>
      <c r="J144" s="12" t="s">
        <v>50</v>
      </c>
      <c r="K144" s="8">
        <v>7101505202</v>
      </c>
      <c r="L144" s="8">
        <v>69091702814</v>
      </c>
      <c r="M144" s="12" t="s">
        <v>385</v>
      </c>
      <c r="N144" s="8" t="s">
        <v>386</v>
      </c>
      <c r="O144" s="11" t="str">
        <f t="shared" si="10"/>
        <v>52379153</v>
      </c>
      <c r="P144" s="11" t="str">
        <f t="shared" si="11"/>
        <v>52379153</v>
      </c>
      <c r="Q144" s="12" t="s">
        <v>890</v>
      </c>
      <c r="R144" s="8">
        <v>2</v>
      </c>
      <c r="S144" s="8" t="s">
        <v>841</v>
      </c>
      <c r="T144" s="8" t="s">
        <v>104</v>
      </c>
      <c r="U144" s="28">
        <f>VLOOKUP($L144,Tabla1[#All],4,FALSE)</f>
        <v>23.123097000000001</v>
      </c>
      <c r="V144" s="28">
        <f>VLOOKUP($L144,Tabla1[#All],5,FALSE)</f>
        <v>-82.392708999999996</v>
      </c>
      <c r="W144" s="43" t="s">
        <v>1717</v>
      </c>
    </row>
    <row r="145" spans="2:23" ht="15.6" customHeight="1">
      <c r="B145" s="8">
        <v>2794</v>
      </c>
      <c r="C145" s="16" t="str">
        <f t="shared" si="8"/>
        <v>2794-3530</v>
      </c>
      <c r="D145" s="11">
        <v>24013530</v>
      </c>
      <c r="E145" s="8" t="str">
        <f t="shared" si="9"/>
        <v>2794 - 3530</v>
      </c>
      <c r="F145" s="12" t="s">
        <v>446</v>
      </c>
      <c r="G145" s="33">
        <v>13.9</v>
      </c>
      <c r="H145" s="8">
        <v>1</v>
      </c>
      <c r="I145" s="13">
        <v>1124.0999999999999</v>
      </c>
      <c r="J145" s="12" t="s">
        <v>50</v>
      </c>
      <c r="K145" s="8">
        <v>7101505202</v>
      </c>
      <c r="L145" s="8">
        <v>69111432818</v>
      </c>
      <c r="M145" s="12" t="s">
        <v>479</v>
      </c>
      <c r="N145" s="8" t="s">
        <v>480</v>
      </c>
      <c r="O145" s="11" t="str">
        <f t="shared" si="10"/>
        <v>53508122</v>
      </c>
      <c r="P145" s="11" t="str">
        <f t="shared" si="11"/>
        <v>53508122</v>
      </c>
      <c r="Q145" s="12" t="s">
        <v>883</v>
      </c>
      <c r="R145" s="8">
        <v>2</v>
      </c>
      <c r="S145" s="8" t="s">
        <v>845</v>
      </c>
      <c r="T145" s="8" t="s">
        <v>104</v>
      </c>
      <c r="U145" s="28">
        <f>VLOOKUP($L145,Tabla1[#All],4,FALSE)</f>
        <v>23.101438000000002</v>
      </c>
      <c r="V145" s="28">
        <f>VLOOKUP($L145,Tabla1[#All],5,FALSE)</f>
        <v>-82.383177000000003</v>
      </c>
      <c r="W145" s="43" t="s">
        <v>1717</v>
      </c>
    </row>
    <row r="146" spans="2:23" ht="15.6" customHeight="1">
      <c r="B146" s="8">
        <v>2794</v>
      </c>
      <c r="C146" s="16" t="str">
        <f t="shared" si="8"/>
        <v>2794-3504</v>
      </c>
      <c r="D146" s="11">
        <v>24013504</v>
      </c>
      <c r="E146" s="8" t="str">
        <f t="shared" si="9"/>
        <v>2794 - 3504</v>
      </c>
      <c r="F146" s="12" t="s">
        <v>563</v>
      </c>
      <c r="G146" s="10">
        <v>24.4</v>
      </c>
      <c r="H146" s="8">
        <v>1</v>
      </c>
      <c r="I146" s="13">
        <v>1932.6</v>
      </c>
      <c r="J146" s="12" t="s">
        <v>50</v>
      </c>
      <c r="K146" s="8">
        <v>7101505202</v>
      </c>
      <c r="L146" s="8">
        <v>69120810742</v>
      </c>
      <c r="M146" s="12" t="s">
        <v>432</v>
      </c>
      <c r="N146" s="8" t="s">
        <v>433</v>
      </c>
      <c r="O146" s="11" t="str">
        <f t="shared" si="10"/>
        <v>58133000</v>
      </c>
      <c r="P146" s="11" t="str">
        <f t="shared" si="11"/>
        <v>58133000</v>
      </c>
      <c r="Q146" s="12" t="s">
        <v>1014</v>
      </c>
      <c r="R146" s="8">
        <v>2</v>
      </c>
      <c r="S146" s="8" t="s">
        <v>994</v>
      </c>
      <c r="T146" s="8" t="s">
        <v>79</v>
      </c>
      <c r="U146" s="28">
        <f>VLOOKUP($L146,Tabla1[#All],4,FALSE)</f>
        <v>20.039439999999999</v>
      </c>
      <c r="V146" s="28">
        <f>VLOOKUP($L146,Tabla1[#All],5,FALSE)</f>
        <v>-75.824966000000003</v>
      </c>
      <c r="W146" s="43" t="s">
        <v>1717</v>
      </c>
    </row>
    <row r="147" spans="2:23" ht="15.6" customHeight="1">
      <c r="B147" s="8">
        <v>2794</v>
      </c>
      <c r="C147" s="16" t="str">
        <f t="shared" si="8"/>
        <v>2794-3507</v>
      </c>
      <c r="D147" s="11">
        <v>24013507</v>
      </c>
      <c r="E147" s="8" t="str">
        <f t="shared" si="9"/>
        <v>2794 - 3507</v>
      </c>
      <c r="F147" s="12" t="s">
        <v>561</v>
      </c>
      <c r="G147" s="33">
        <v>22</v>
      </c>
      <c r="H147" s="8">
        <v>1</v>
      </c>
      <c r="I147" s="13">
        <v>1781.4</v>
      </c>
      <c r="J147" s="12" t="s">
        <v>50</v>
      </c>
      <c r="K147" s="8">
        <v>7101505202</v>
      </c>
      <c r="L147" s="8">
        <v>70010415863</v>
      </c>
      <c r="M147" s="12" t="s">
        <v>439</v>
      </c>
      <c r="N147" s="8" t="s">
        <v>440</v>
      </c>
      <c r="O147" s="11" t="str">
        <f t="shared" si="10"/>
        <v>63673571</v>
      </c>
      <c r="P147" s="11" t="str">
        <f t="shared" si="11"/>
        <v>63673571</v>
      </c>
      <c r="Q147" s="12" t="s">
        <v>892</v>
      </c>
      <c r="R147" s="8">
        <v>2</v>
      </c>
      <c r="S147" s="8" t="s">
        <v>841</v>
      </c>
      <c r="T147" s="8" t="s">
        <v>104</v>
      </c>
      <c r="U147" s="28">
        <f>VLOOKUP($L147,Tabla1[#All],4,FALSE)</f>
        <v>23.107008</v>
      </c>
      <c r="V147" s="28">
        <f>VLOOKUP($L147,Tabla1[#All],5,FALSE)</f>
        <v>-82.402465000000007</v>
      </c>
      <c r="W147" s="43" t="s">
        <v>1717</v>
      </c>
    </row>
    <row r="148" spans="2:23" ht="15.6" customHeight="1">
      <c r="B148" s="8">
        <v>2783</v>
      </c>
      <c r="C148" s="16" t="str">
        <f t="shared" si="8"/>
        <v>2783-3414</v>
      </c>
      <c r="D148" s="8">
        <v>24013414</v>
      </c>
      <c r="E148" s="8" t="str">
        <f t="shared" si="9"/>
        <v>2783 - 3414</v>
      </c>
      <c r="F148" s="12" t="s">
        <v>804</v>
      </c>
      <c r="G148" s="33">
        <v>14.5</v>
      </c>
      <c r="H148" s="8">
        <v>1</v>
      </c>
      <c r="I148" s="13">
        <v>295</v>
      </c>
      <c r="J148" s="12" t="s">
        <v>801</v>
      </c>
      <c r="K148" s="8">
        <v>6605201890</v>
      </c>
      <c r="L148" s="8">
        <v>70011901582</v>
      </c>
      <c r="M148" s="12" t="s">
        <v>805</v>
      </c>
      <c r="N148" s="8" t="s">
        <v>806</v>
      </c>
      <c r="O148" s="11" t="str">
        <f t="shared" si="10"/>
        <v>53620220</v>
      </c>
      <c r="P148" s="11" t="str">
        <f t="shared" si="11"/>
        <v>53620220</v>
      </c>
      <c r="Q148" s="12" t="s">
        <v>901</v>
      </c>
      <c r="R148" s="8">
        <v>2</v>
      </c>
      <c r="S148" s="8" t="s">
        <v>844</v>
      </c>
      <c r="T148" s="8" t="s">
        <v>104</v>
      </c>
      <c r="U148" s="28">
        <f>VLOOKUP($L148,Tabla1[#All],4,FALSE)</f>
        <v>23.124866999999998</v>
      </c>
      <c r="V148" s="28">
        <f>VLOOKUP($L148,Tabla1[#All],5,FALSE)</f>
        <v>-82.297515000000004</v>
      </c>
      <c r="W148" s="43" t="s">
        <v>1717</v>
      </c>
    </row>
    <row r="149" spans="2:23" ht="15.6" customHeight="1">
      <c r="B149" s="8">
        <v>2783</v>
      </c>
      <c r="C149" s="16" t="str">
        <f t="shared" si="8"/>
        <v>2783-3422</v>
      </c>
      <c r="D149" s="8">
        <v>24013422</v>
      </c>
      <c r="E149" s="8" t="str">
        <f t="shared" si="9"/>
        <v>2783 - 3422</v>
      </c>
      <c r="F149" s="12" t="s">
        <v>828</v>
      </c>
      <c r="G149" s="33">
        <v>8.24</v>
      </c>
      <c r="H149" s="8">
        <v>1</v>
      </c>
      <c r="I149" s="13">
        <v>670.5</v>
      </c>
      <c r="J149" s="12" t="s">
        <v>829</v>
      </c>
      <c r="K149" s="8">
        <v>70031598704</v>
      </c>
      <c r="L149" s="8">
        <v>70020614948</v>
      </c>
      <c r="M149" s="12" t="s">
        <v>830</v>
      </c>
      <c r="N149" s="8" t="s">
        <v>831</v>
      </c>
      <c r="O149" s="11" t="str">
        <f t="shared" si="10"/>
        <v>78732331</v>
      </c>
      <c r="P149" s="11" t="str">
        <f t="shared" si="11"/>
        <v>52635999</v>
      </c>
      <c r="Q149" s="12" t="s">
        <v>882</v>
      </c>
      <c r="R149" s="8">
        <v>2</v>
      </c>
      <c r="S149" s="8" t="s">
        <v>845</v>
      </c>
      <c r="T149" s="8" t="s">
        <v>104</v>
      </c>
      <c r="U149" s="28">
        <f>VLOOKUP($L149,Tabla1[#All],4,FALSE)</f>
        <v>23.122108000000001</v>
      </c>
      <c r="V149" s="28">
        <f>VLOOKUP($L149,Tabla1[#All],5,FALSE)</f>
        <v>-82.380523999999994</v>
      </c>
      <c r="W149" s="43" t="s">
        <v>1717</v>
      </c>
    </row>
    <row r="150" spans="2:23" ht="15.6" customHeight="1">
      <c r="B150" s="8">
        <v>2783</v>
      </c>
      <c r="C150" s="16" t="str">
        <f t="shared" si="8"/>
        <v>2783-3318</v>
      </c>
      <c r="D150" s="8">
        <v>24013318</v>
      </c>
      <c r="E150" s="8" t="str">
        <f t="shared" si="9"/>
        <v>2783 - 3318</v>
      </c>
      <c r="F150" s="12" t="s">
        <v>621</v>
      </c>
      <c r="G150" s="10">
        <v>2.4</v>
      </c>
      <c r="H150" s="8">
        <v>1</v>
      </c>
      <c r="I150" s="13">
        <v>295</v>
      </c>
      <c r="J150" s="12" t="s">
        <v>50</v>
      </c>
      <c r="K150" s="8">
        <v>7101505202</v>
      </c>
      <c r="L150" s="8">
        <v>70041211593</v>
      </c>
      <c r="M150" s="12" t="s">
        <v>622</v>
      </c>
      <c r="N150" s="8" t="s">
        <v>623</v>
      </c>
      <c r="O150" s="11" t="str">
        <f t="shared" si="10"/>
        <v>55122108</v>
      </c>
      <c r="P150" s="11" t="str">
        <f t="shared" si="11"/>
        <v>55122108</v>
      </c>
      <c r="Q150" s="12" t="s">
        <v>1003</v>
      </c>
      <c r="R150" s="8">
        <v>2</v>
      </c>
      <c r="S150" s="8" t="s">
        <v>994</v>
      </c>
      <c r="T150" s="8" t="s">
        <v>79</v>
      </c>
      <c r="U150" s="28">
        <f>VLOOKUP($L150,Tabla1[#All],4,FALSE)</f>
        <v>20.018689999999999</v>
      </c>
      <c r="V150" s="28">
        <f>VLOOKUP($L150,Tabla1[#All],5,FALSE)</f>
        <v>-75.816205999999994</v>
      </c>
      <c r="W150" s="43" t="s">
        <v>1717</v>
      </c>
    </row>
    <row r="151" spans="2:23" ht="15.6" customHeight="1">
      <c r="B151" s="8">
        <v>2783</v>
      </c>
      <c r="C151" s="16" t="str">
        <f t="shared" si="8"/>
        <v>2783-3373</v>
      </c>
      <c r="D151" s="8">
        <v>24013373</v>
      </c>
      <c r="E151" s="8" t="str">
        <f t="shared" si="9"/>
        <v>2783 - 3373</v>
      </c>
      <c r="F151" s="12" t="s">
        <v>747</v>
      </c>
      <c r="G151" s="10">
        <v>9.5</v>
      </c>
      <c r="H151" s="8">
        <v>1</v>
      </c>
      <c r="I151" s="13">
        <v>746.1</v>
      </c>
      <c r="J151" s="12" t="s">
        <v>50</v>
      </c>
      <c r="K151" s="8">
        <v>7101505202</v>
      </c>
      <c r="L151" s="8">
        <v>70062027179</v>
      </c>
      <c r="M151" s="12" t="s">
        <v>748</v>
      </c>
      <c r="N151" s="8" t="s">
        <v>749</v>
      </c>
      <c r="O151" s="11" t="str">
        <f t="shared" si="10"/>
        <v>52557840</v>
      </c>
      <c r="P151" s="11" t="str">
        <f t="shared" si="11"/>
        <v>52557840</v>
      </c>
      <c r="Q151" s="12" t="s">
        <v>1684</v>
      </c>
      <c r="R151" s="8">
        <v>2</v>
      </c>
      <c r="S151" s="8" t="s">
        <v>912</v>
      </c>
      <c r="T151" s="8" t="s">
        <v>69</v>
      </c>
      <c r="U151" s="28">
        <f>VLOOKUP($L151,Tabla1[#All],4,FALSE)</f>
        <v>20.875336000000001</v>
      </c>
      <c r="V151" s="28">
        <f>VLOOKUP($L151,Tabla1[#All],5,FALSE)</f>
        <v>-76.242756</v>
      </c>
      <c r="W151" s="43" t="s">
        <v>1717</v>
      </c>
    </row>
    <row r="152" spans="2:23" ht="15.6" customHeight="1">
      <c r="B152" s="8">
        <v>2783</v>
      </c>
      <c r="C152" s="16" t="str">
        <f t="shared" si="8"/>
        <v>2783-3386</v>
      </c>
      <c r="D152" s="8">
        <v>24013386</v>
      </c>
      <c r="E152" s="8" t="str">
        <f t="shared" si="9"/>
        <v>2783 - 3386</v>
      </c>
      <c r="F152" s="12" t="s">
        <v>776</v>
      </c>
      <c r="G152" s="10">
        <v>3.3</v>
      </c>
      <c r="H152" s="8">
        <v>1</v>
      </c>
      <c r="I152" s="13">
        <v>295</v>
      </c>
      <c r="J152" s="12" t="s">
        <v>50</v>
      </c>
      <c r="K152" s="8">
        <v>7101505202</v>
      </c>
      <c r="L152" s="8">
        <v>70062726985</v>
      </c>
      <c r="M152" s="12" t="s">
        <v>777</v>
      </c>
      <c r="N152" s="8" t="s">
        <v>778</v>
      </c>
      <c r="O152" s="11" t="str">
        <f t="shared" si="10"/>
        <v>59941402</v>
      </c>
      <c r="P152" s="11" t="str">
        <f t="shared" si="11"/>
        <v>59941402</v>
      </c>
      <c r="Q152" s="12" t="s">
        <v>941</v>
      </c>
      <c r="R152" s="8">
        <v>2</v>
      </c>
      <c r="S152" s="8" t="s">
        <v>921</v>
      </c>
      <c r="T152" s="8" t="s">
        <v>932</v>
      </c>
      <c r="U152" s="28">
        <f>VLOOKUP($L152,Tabla1[#All],4,FALSE)</f>
        <v>21.161014999999999</v>
      </c>
      <c r="V152" s="28">
        <f>VLOOKUP($L152,Tabla1[#All],5,FALSE)</f>
        <v>-76.477005000000005</v>
      </c>
      <c r="W152" s="43" t="s">
        <v>1717</v>
      </c>
    </row>
    <row r="153" spans="2:23" ht="15.6" customHeight="1">
      <c r="B153" s="8">
        <v>2783</v>
      </c>
      <c r="C153" s="16" t="str">
        <f t="shared" si="8"/>
        <v>2783-3348</v>
      </c>
      <c r="D153" s="8">
        <v>24013348</v>
      </c>
      <c r="E153" s="8" t="str">
        <f t="shared" si="9"/>
        <v>2783 - 3348</v>
      </c>
      <c r="F153" s="12" t="s">
        <v>676</v>
      </c>
      <c r="G153" s="33">
        <v>12.1</v>
      </c>
      <c r="H153" s="8">
        <v>1</v>
      </c>
      <c r="I153" s="13">
        <v>295</v>
      </c>
      <c r="J153" s="12" t="s">
        <v>50</v>
      </c>
      <c r="K153" s="8">
        <v>7101505202</v>
      </c>
      <c r="L153" s="8">
        <v>70062814102</v>
      </c>
      <c r="M153" s="12" t="s">
        <v>677</v>
      </c>
      <c r="N153" s="8" t="s">
        <v>678</v>
      </c>
      <c r="O153" s="11" t="str">
        <f t="shared" si="10"/>
        <v>52385214</v>
      </c>
      <c r="P153" s="11" t="str">
        <f t="shared" si="11"/>
        <v>52385214</v>
      </c>
      <c r="Q153" s="12" t="s">
        <v>889</v>
      </c>
      <c r="R153" s="8">
        <v>2</v>
      </c>
      <c r="S153" s="8" t="s">
        <v>840</v>
      </c>
      <c r="T153" s="8" t="s">
        <v>104</v>
      </c>
      <c r="U153" s="28">
        <f>VLOOKUP($L153,Tabla1[#All],4,FALSE)</f>
        <v>23.078330999999999</v>
      </c>
      <c r="V153" s="28">
        <f>VLOOKUP($L153,Tabla1[#All],5,FALSE)</f>
        <v>-82.325205999999994</v>
      </c>
      <c r="W153" s="43" t="s">
        <v>1717</v>
      </c>
    </row>
    <row r="154" spans="2:23" ht="15.6" customHeight="1">
      <c r="B154" s="8">
        <v>2783</v>
      </c>
      <c r="C154" s="16" t="str">
        <f t="shared" si="8"/>
        <v>2783-3420</v>
      </c>
      <c r="D154" s="8">
        <v>24013420</v>
      </c>
      <c r="E154" s="8" t="str">
        <f t="shared" si="9"/>
        <v>2783 - 3420</v>
      </c>
      <c r="F154" s="12" t="s">
        <v>790</v>
      </c>
      <c r="G154" s="10">
        <v>19.88</v>
      </c>
      <c r="H154" s="8">
        <v>1</v>
      </c>
      <c r="I154" s="13">
        <v>1577.7</v>
      </c>
      <c r="J154" s="12" t="s">
        <v>822</v>
      </c>
      <c r="K154" s="8">
        <v>85051878964</v>
      </c>
      <c r="L154" s="8">
        <v>70100814147</v>
      </c>
      <c r="M154" s="12" t="s">
        <v>823</v>
      </c>
      <c r="N154" s="8" t="s">
        <v>824</v>
      </c>
      <c r="O154" s="11" t="str">
        <f t="shared" si="10"/>
        <v>54096545</v>
      </c>
      <c r="P154" s="11" t="str">
        <f t="shared" si="11"/>
        <v>54096545</v>
      </c>
      <c r="Q154" s="12" t="s">
        <v>944</v>
      </c>
      <c r="R154" s="8">
        <v>2</v>
      </c>
      <c r="S154" s="8" t="s">
        <v>912</v>
      </c>
      <c r="T154" s="8" t="s">
        <v>69</v>
      </c>
      <c r="U154" s="28">
        <f>VLOOKUP($L154,Tabla1[#All],4,FALSE)</f>
        <v>20.882155000000001</v>
      </c>
      <c r="V154" s="28">
        <f>VLOOKUP($L154,Tabla1[#All],5,FALSE)</f>
        <v>-76.267230999999995</v>
      </c>
      <c r="W154" s="43" t="s">
        <v>1717</v>
      </c>
    </row>
    <row r="155" spans="2:23" ht="15.6" customHeight="1">
      <c r="B155" s="8">
        <v>2794</v>
      </c>
      <c r="C155" s="16" t="str">
        <f t="shared" si="8"/>
        <v>2794-3559</v>
      </c>
      <c r="D155" s="11">
        <v>24013559</v>
      </c>
      <c r="E155" s="8" t="str">
        <f t="shared" si="9"/>
        <v>2794 - 3559</v>
      </c>
      <c r="F155" s="12" t="s">
        <v>537</v>
      </c>
      <c r="G155" s="10">
        <v>22</v>
      </c>
      <c r="H155" s="8">
        <v>1</v>
      </c>
      <c r="I155" s="13">
        <v>1275.3</v>
      </c>
      <c r="J155" s="12" t="s">
        <v>50</v>
      </c>
      <c r="K155" s="8">
        <v>7101505202</v>
      </c>
      <c r="L155" s="8">
        <v>71050609972</v>
      </c>
      <c r="M155" s="12" t="s">
        <v>526</v>
      </c>
      <c r="N155" s="8" t="s">
        <v>527</v>
      </c>
      <c r="O155" s="11" t="str">
        <f t="shared" si="10"/>
        <v>54367067</v>
      </c>
      <c r="P155" s="11" t="str">
        <f t="shared" si="11"/>
        <v>54367067</v>
      </c>
      <c r="Q155" s="12" t="s">
        <v>939</v>
      </c>
      <c r="R155" s="8">
        <v>2</v>
      </c>
      <c r="S155" s="8" t="s">
        <v>920</v>
      </c>
      <c r="T155" s="8" t="s">
        <v>69</v>
      </c>
      <c r="U155" s="28">
        <f>VLOOKUP($L155,Tabla1[#All],4,FALSE)</f>
        <v>20.670024999999999</v>
      </c>
      <c r="V155" s="28">
        <f>VLOOKUP($L155,Tabla1[#All],5,FALSE)</f>
        <v>-75.258142000000007</v>
      </c>
      <c r="W155" s="43" t="s">
        <v>1717</v>
      </c>
    </row>
    <row r="156" spans="2:23" ht="15.6" customHeight="1">
      <c r="B156" s="8">
        <v>2783</v>
      </c>
      <c r="C156" s="16" t="str">
        <f t="shared" si="8"/>
        <v>2783-3378</v>
      </c>
      <c r="D156" s="8">
        <v>24013378</v>
      </c>
      <c r="E156" s="8" t="str">
        <f t="shared" si="9"/>
        <v>2783 - 3378</v>
      </c>
      <c r="F156" s="12" t="s">
        <v>758</v>
      </c>
      <c r="G156" s="10">
        <v>33.799999999999997</v>
      </c>
      <c r="H156" s="8">
        <v>1</v>
      </c>
      <c r="I156" s="13">
        <v>443.7</v>
      </c>
      <c r="J156" s="12" t="s">
        <v>50</v>
      </c>
      <c r="K156" s="8">
        <v>7101505202</v>
      </c>
      <c r="L156" s="8">
        <v>71050609972</v>
      </c>
      <c r="M156" s="12" t="s">
        <v>526</v>
      </c>
      <c r="N156" s="8" t="s">
        <v>527</v>
      </c>
      <c r="O156" s="11" t="str">
        <f t="shared" si="10"/>
        <v>54367067</v>
      </c>
      <c r="P156" s="11" t="str">
        <f t="shared" si="11"/>
        <v>54367067</v>
      </c>
      <c r="Q156" s="12" t="s">
        <v>939</v>
      </c>
      <c r="R156" s="8">
        <v>2</v>
      </c>
      <c r="S156" s="8" t="s">
        <v>920</v>
      </c>
      <c r="T156" s="8" t="s">
        <v>69</v>
      </c>
      <c r="U156" s="28">
        <f>VLOOKUP($L156,Tabla1[#All],4,FALSE)</f>
        <v>20.670024999999999</v>
      </c>
      <c r="V156" s="28">
        <f>VLOOKUP($L156,Tabla1[#All],5,FALSE)</f>
        <v>-75.258142000000007</v>
      </c>
      <c r="W156" s="43" t="s">
        <v>1717</v>
      </c>
    </row>
    <row r="157" spans="2:23" ht="15.6" customHeight="1">
      <c r="B157" s="8">
        <v>2864</v>
      </c>
      <c r="C157" s="16" t="str">
        <f t="shared" si="8"/>
        <v>2864-3583</v>
      </c>
      <c r="D157" s="8">
        <v>24013583</v>
      </c>
      <c r="E157" s="8" t="str">
        <f t="shared" si="9"/>
        <v>2864 - 3583</v>
      </c>
      <c r="F157" s="9" t="s">
        <v>54</v>
      </c>
      <c r="G157" s="55">
        <v>17.899999999999999</v>
      </c>
      <c r="H157" s="11">
        <v>1</v>
      </c>
      <c r="I157" s="13">
        <v>1426.5</v>
      </c>
      <c r="J157" s="12" t="s">
        <v>50</v>
      </c>
      <c r="K157" s="11">
        <v>7101505202</v>
      </c>
      <c r="L157" s="11">
        <v>71052329950</v>
      </c>
      <c r="M157" s="12" t="s">
        <v>55</v>
      </c>
      <c r="N157" s="8" t="s">
        <v>56</v>
      </c>
      <c r="O157" s="11" t="str">
        <f t="shared" si="10"/>
        <v>50160440</v>
      </c>
      <c r="P157" s="11" t="str">
        <f t="shared" si="11"/>
        <v>50160440</v>
      </c>
      <c r="Q157" s="12" t="s">
        <v>1682</v>
      </c>
      <c r="R157" s="8">
        <v>2</v>
      </c>
      <c r="S157" s="8" t="s">
        <v>851</v>
      </c>
      <c r="T157" s="8" t="s">
        <v>31</v>
      </c>
      <c r="U157" s="28">
        <f>VLOOKUP($L157,Tabla1[#All],4,FALSE)</f>
        <v>22.714661</v>
      </c>
      <c r="V157" s="28">
        <f>VLOOKUP($L157,Tabla1[#All],5,FALSE)</f>
        <v>-83.045163000000002</v>
      </c>
      <c r="W157" s="43" t="s">
        <v>1717</v>
      </c>
    </row>
    <row r="158" spans="2:23" ht="15.6" customHeight="1">
      <c r="B158" s="8">
        <v>2794</v>
      </c>
      <c r="C158" s="16" t="str">
        <f t="shared" si="8"/>
        <v>2794-3440</v>
      </c>
      <c r="D158" s="11">
        <v>24013440</v>
      </c>
      <c r="E158" s="8" t="str">
        <f t="shared" si="9"/>
        <v>2794 - 3440</v>
      </c>
      <c r="F158" s="12" t="s">
        <v>308</v>
      </c>
      <c r="G158" s="10">
        <v>20</v>
      </c>
      <c r="H158" s="8">
        <v>1</v>
      </c>
      <c r="I158" s="13">
        <v>1577.7</v>
      </c>
      <c r="J158" s="12" t="s">
        <v>50</v>
      </c>
      <c r="K158" s="8">
        <v>7101505202</v>
      </c>
      <c r="L158" s="8">
        <v>71071122799</v>
      </c>
      <c r="M158" s="12" t="s">
        <v>309</v>
      </c>
      <c r="N158" s="8" t="s">
        <v>310</v>
      </c>
      <c r="O158" s="11" t="str">
        <f t="shared" si="10"/>
        <v>51667472</v>
      </c>
      <c r="P158" s="11" t="str">
        <f t="shared" si="11"/>
        <v>51667472</v>
      </c>
      <c r="Q158" s="12" t="s">
        <v>947</v>
      </c>
      <c r="R158" s="8">
        <v>2</v>
      </c>
      <c r="S158" s="8" t="s">
        <v>923</v>
      </c>
      <c r="T158" s="8" t="s">
        <v>932</v>
      </c>
      <c r="U158" s="28">
        <f>VLOOKUP($L158,Tabla1[#All],4,FALSE)</f>
        <v>20.954537999999999</v>
      </c>
      <c r="V158" s="28">
        <f>VLOOKUP($L158,Tabla1[#All],5,FALSE)</f>
        <v>-76.954515999999998</v>
      </c>
      <c r="W158" s="43" t="s">
        <v>1717</v>
      </c>
    </row>
    <row r="159" spans="2:23" ht="15.6" customHeight="1">
      <c r="B159" s="8">
        <v>2794</v>
      </c>
      <c r="C159" s="16" t="str">
        <f t="shared" si="8"/>
        <v>2794-3441</v>
      </c>
      <c r="D159" s="11">
        <v>24013441</v>
      </c>
      <c r="E159" s="8" t="str">
        <f t="shared" si="9"/>
        <v>2794 - 3441</v>
      </c>
      <c r="F159" s="12" t="s">
        <v>311</v>
      </c>
      <c r="G159" s="10">
        <v>12.8</v>
      </c>
      <c r="H159" s="8">
        <v>1</v>
      </c>
      <c r="I159" s="13">
        <v>1048.5</v>
      </c>
      <c r="J159" s="12" t="s">
        <v>50</v>
      </c>
      <c r="K159" s="8">
        <v>7101505202</v>
      </c>
      <c r="L159" s="8">
        <v>71071122799</v>
      </c>
      <c r="M159" s="12" t="s">
        <v>309</v>
      </c>
      <c r="N159" s="8" t="s">
        <v>310</v>
      </c>
      <c r="O159" s="11" t="str">
        <f t="shared" si="10"/>
        <v>51667472</v>
      </c>
      <c r="P159" s="11" t="str">
        <f t="shared" si="11"/>
        <v>51667472</v>
      </c>
      <c r="Q159" s="12" t="s">
        <v>947</v>
      </c>
      <c r="R159" s="8">
        <v>2</v>
      </c>
      <c r="S159" s="8" t="s">
        <v>923</v>
      </c>
      <c r="T159" s="8" t="s">
        <v>932</v>
      </c>
      <c r="U159" s="28">
        <f>VLOOKUP($L159,Tabla1[#All],4,FALSE)</f>
        <v>20.954537999999999</v>
      </c>
      <c r="V159" s="28">
        <f>VLOOKUP($L159,Tabla1[#All],5,FALSE)</f>
        <v>-76.954515999999998</v>
      </c>
      <c r="W159" s="43" t="s">
        <v>1717</v>
      </c>
    </row>
    <row r="160" spans="2:23" ht="15.6" customHeight="1">
      <c r="B160" s="8">
        <v>2794</v>
      </c>
      <c r="C160" s="16" t="str">
        <f t="shared" si="8"/>
        <v>2794-3444</v>
      </c>
      <c r="D160" s="11">
        <v>24013444</v>
      </c>
      <c r="E160" s="8" t="str">
        <f t="shared" si="9"/>
        <v>2794 - 3444</v>
      </c>
      <c r="F160" s="12" t="s">
        <v>318</v>
      </c>
      <c r="G160" s="10">
        <v>18.399999999999999</v>
      </c>
      <c r="H160" s="8">
        <v>1</v>
      </c>
      <c r="I160" s="13">
        <v>295</v>
      </c>
      <c r="J160" s="12" t="s">
        <v>50</v>
      </c>
      <c r="K160" s="8">
        <v>7101505202</v>
      </c>
      <c r="L160" s="8">
        <v>71082511993</v>
      </c>
      <c r="M160" s="12" t="s">
        <v>319</v>
      </c>
      <c r="N160" s="8" t="s">
        <v>320</v>
      </c>
      <c r="O160" s="11" t="str">
        <f t="shared" si="10"/>
        <v>56767182</v>
      </c>
      <c r="P160" s="11" t="str">
        <f t="shared" si="11"/>
        <v>56767182</v>
      </c>
      <c r="Q160" s="12" t="s">
        <v>1034</v>
      </c>
      <c r="R160" s="8">
        <v>2</v>
      </c>
      <c r="S160" s="8" t="s">
        <v>994</v>
      </c>
      <c r="T160" s="8" t="s">
        <v>79</v>
      </c>
      <c r="U160" s="28">
        <f>VLOOKUP($L160,Tabla1[#All],4,FALSE)</f>
        <v>20.014994999999999</v>
      </c>
      <c r="V160" s="28">
        <f>VLOOKUP($L160,Tabla1[#All],5,FALSE)</f>
        <v>-75.828520999999995</v>
      </c>
      <c r="W160" s="43" t="s">
        <v>1717</v>
      </c>
    </row>
    <row r="161" spans="2:23" ht="15.6" customHeight="1">
      <c r="B161" s="8">
        <v>2794</v>
      </c>
      <c r="C161" s="16" t="str">
        <f t="shared" si="8"/>
        <v>2794-3506</v>
      </c>
      <c r="D161" s="11">
        <v>24013506</v>
      </c>
      <c r="E161" s="8" t="str">
        <f t="shared" si="9"/>
        <v>2794 - 3506</v>
      </c>
      <c r="F161" s="12" t="s">
        <v>436</v>
      </c>
      <c r="G161" s="55">
        <v>18.600000000000001</v>
      </c>
      <c r="H161" s="8">
        <v>1</v>
      </c>
      <c r="I161" s="13">
        <v>1502.1</v>
      </c>
      <c r="J161" s="12" t="s">
        <v>50</v>
      </c>
      <c r="K161" s="8">
        <v>7101505202</v>
      </c>
      <c r="L161" s="8">
        <v>71112104955</v>
      </c>
      <c r="M161" s="12" t="s">
        <v>437</v>
      </c>
      <c r="N161" s="8" t="s">
        <v>438</v>
      </c>
      <c r="O161" s="11" t="str">
        <f t="shared" si="10"/>
        <v>59876977</v>
      </c>
      <c r="P161" s="11" t="str">
        <f t="shared" si="11"/>
        <v>59876977</v>
      </c>
      <c r="Q161" s="12" t="s">
        <v>992</v>
      </c>
      <c r="R161" s="8">
        <v>2</v>
      </c>
      <c r="S161" s="8" t="s">
        <v>966</v>
      </c>
      <c r="T161" s="8" t="s">
        <v>202</v>
      </c>
      <c r="U161" s="28">
        <f>VLOOKUP($L161,Tabla1[#All],4,FALSE)</f>
        <v>22.414960000000001</v>
      </c>
      <c r="V161" s="28">
        <f>VLOOKUP($L161,Tabla1[#All],5,FALSE)</f>
        <v>-83.678122999999999</v>
      </c>
      <c r="W161" s="43" t="s">
        <v>1717</v>
      </c>
    </row>
    <row r="162" spans="2:23" ht="15.6" customHeight="1">
      <c r="B162" s="8">
        <v>2794</v>
      </c>
      <c r="C162" s="16" t="str">
        <f t="shared" si="8"/>
        <v>2794-3477</v>
      </c>
      <c r="D162" s="11">
        <v>24013477</v>
      </c>
      <c r="E162" s="8" t="str">
        <f t="shared" si="9"/>
        <v>2794 - 3477</v>
      </c>
      <c r="F162" s="12" t="s">
        <v>382</v>
      </c>
      <c r="G162" s="10">
        <v>5.2</v>
      </c>
      <c r="H162" s="8">
        <v>1</v>
      </c>
      <c r="I162" s="13">
        <v>295</v>
      </c>
      <c r="J162" s="12" t="s">
        <v>50</v>
      </c>
      <c r="K162" s="8">
        <v>7101505202</v>
      </c>
      <c r="L162" s="8">
        <v>71121407784</v>
      </c>
      <c r="M162" s="12" t="s">
        <v>383</v>
      </c>
      <c r="N162" s="8" t="s">
        <v>384</v>
      </c>
      <c r="O162" s="11" t="str">
        <f t="shared" si="10"/>
        <v>53711267</v>
      </c>
      <c r="P162" s="11" t="str">
        <f t="shared" si="11"/>
        <v>53711267</v>
      </c>
      <c r="Q162" s="12" t="s">
        <v>1202</v>
      </c>
      <c r="R162" s="8">
        <v>2</v>
      </c>
      <c r="S162" s="8" t="s">
        <v>867</v>
      </c>
      <c r="T162" s="8" t="s">
        <v>358</v>
      </c>
      <c r="U162" s="28">
        <f>VLOOKUP($L162,Tabla1[#All],4,FALSE)</f>
        <v>21.379168</v>
      </c>
      <c r="V162" s="28">
        <f>VLOOKUP($L162,Tabla1[#All],5,FALSE)</f>
        <v>-77.925943000000004</v>
      </c>
      <c r="W162" s="43" t="s">
        <v>1719</v>
      </c>
    </row>
    <row r="163" spans="2:23" ht="15.6" customHeight="1">
      <c r="B163" s="8">
        <v>2794</v>
      </c>
      <c r="C163" s="16" t="str">
        <f t="shared" si="8"/>
        <v>2794-3478</v>
      </c>
      <c r="D163" s="11">
        <v>24013478</v>
      </c>
      <c r="E163" s="8" t="str">
        <f t="shared" si="9"/>
        <v>2794 - 3478</v>
      </c>
      <c r="F163" s="12" t="s">
        <v>576</v>
      </c>
      <c r="G163" s="10">
        <v>16.600000000000001</v>
      </c>
      <c r="H163" s="8">
        <v>1</v>
      </c>
      <c r="I163" s="13">
        <v>1502.1</v>
      </c>
      <c r="J163" s="12" t="s">
        <v>50</v>
      </c>
      <c r="K163" s="8">
        <v>7101505202</v>
      </c>
      <c r="L163" s="8">
        <v>71121407784</v>
      </c>
      <c r="M163" s="12" t="s">
        <v>383</v>
      </c>
      <c r="N163" s="8" t="s">
        <v>384</v>
      </c>
      <c r="O163" s="11" t="str">
        <f t="shared" si="10"/>
        <v>53711267</v>
      </c>
      <c r="P163" s="11" t="str">
        <f t="shared" si="11"/>
        <v>53711267</v>
      </c>
      <c r="Q163" s="12" t="s">
        <v>1202</v>
      </c>
      <c r="R163" s="8">
        <v>2</v>
      </c>
      <c r="S163" s="8" t="s">
        <v>867</v>
      </c>
      <c r="T163" s="8" t="s">
        <v>358</v>
      </c>
      <c r="U163" s="28">
        <f>VLOOKUP($L163,Tabla1[#All],4,FALSE)</f>
        <v>21.379168</v>
      </c>
      <c r="V163" s="28">
        <f>VLOOKUP($L163,Tabla1[#All],5,FALSE)</f>
        <v>-77.925943000000004</v>
      </c>
      <c r="W163" s="43" t="s">
        <v>1719</v>
      </c>
    </row>
    <row r="164" spans="2:23" ht="15.6" customHeight="1">
      <c r="B164" s="8">
        <v>2794</v>
      </c>
      <c r="C164" s="16" t="str">
        <f t="shared" si="8"/>
        <v>2794-3548</v>
      </c>
      <c r="D164" s="11">
        <v>24013548</v>
      </c>
      <c r="E164" s="8" t="str">
        <f t="shared" si="9"/>
        <v>2794 - 3548</v>
      </c>
      <c r="F164" s="12" t="s">
        <v>507</v>
      </c>
      <c r="G164" s="55">
        <v>20.3</v>
      </c>
      <c r="H164" s="8">
        <v>1</v>
      </c>
      <c r="I164" s="13">
        <v>295</v>
      </c>
      <c r="J164" s="12" t="s">
        <v>50</v>
      </c>
      <c r="K164" s="8">
        <v>7101505202</v>
      </c>
      <c r="L164" s="8">
        <v>71121908497</v>
      </c>
      <c r="M164" s="12" t="s">
        <v>508</v>
      </c>
      <c r="N164" s="8" t="s">
        <v>509</v>
      </c>
      <c r="O164" s="11" t="str">
        <f t="shared" si="10"/>
        <v>51199467</v>
      </c>
      <c r="P164" s="11" t="str">
        <f t="shared" si="11"/>
        <v>51199467</v>
      </c>
      <c r="Q164" s="12" t="s">
        <v>907</v>
      </c>
      <c r="R164" s="8">
        <v>2</v>
      </c>
      <c r="S164" s="8" t="s">
        <v>836</v>
      </c>
      <c r="T164" s="8" t="s">
        <v>104</v>
      </c>
      <c r="U164" s="28">
        <f>VLOOKUP($L164,Tabla1[#All],4,FALSE)</f>
        <v>23.060040999999998</v>
      </c>
      <c r="V164" s="28">
        <f>VLOOKUP($L164,Tabla1[#All],5,FALSE)</f>
        <v>-82.468214000000003</v>
      </c>
      <c r="W164" s="43" t="s">
        <v>1717</v>
      </c>
    </row>
    <row r="165" spans="2:23" ht="15.6" customHeight="1">
      <c r="B165" s="8">
        <v>2783</v>
      </c>
      <c r="C165" s="16" t="str">
        <f t="shared" si="8"/>
        <v>2783-3327</v>
      </c>
      <c r="D165" s="8">
        <v>24013327</v>
      </c>
      <c r="E165" s="8" t="str">
        <f t="shared" si="9"/>
        <v>2783 - 3327</v>
      </c>
      <c r="F165" s="12" t="s">
        <v>638</v>
      </c>
      <c r="G165" s="10">
        <v>14</v>
      </c>
      <c r="H165" s="8">
        <v>1</v>
      </c>
      <c r="I165" s="13">
        <v>1502.1</v>
      </c>
      <c r="J165" s="12" t="s">
        <v>50</v>
      </c>
      <c r="K165" s="8">
        <v>7101505202</v>
      </c>
      <c r="L165" s="8">
        <v>72022143771</v>
      </c>
      <c r="M165" s="12" t="s">
        <v>639</v>
      </c>
      <c r="N165" s="8" t="s">
        <v>368</v>
      </c>
      <c r="O165" s="11" t="str">
        <f t="shared" si="10"/>
        <v>53177201</v>
      </c>
      <c r="P165" s="11" t="str">
        <f t="shared" si="11"/>
        <v>53177201</v>
      </c>
      <c r="Q165" s="12" t="s">
        <v>1005</v>
      </c>
      <c r="R165" s="8">
        <v>2</v>
      </c>
      <c r="S165" s="8" t="s">
        <v>994</v>
      </c>
      <c r="T165" s="8" t="s">
        <v>79</v>
      </c>
      <c r="U165" s="28">
        <f>VLOOKUP($L165,Tabla1[#All],4,FALSE)</f>
        <v>20.015238</v>
      </c>
      <c r="V165" s="28">
        <f>VLOOKUP($L165,Tabla1[#All],5,FALSE)</f>
        <v>-75.833042000000006</v>
      </c>
      <c r="W165" s="43" t="s">
        <v>1717</v>
      </c>
    </row>
    <row r="166" spans="2:23" ht="15.6" customHeight="1">
      <c r="B166" s="8">
        <v>2783</v>
      </c>
      <c r="C166" s="16" t="str">
        <f t="shared" si="8"/>
        <v>2783-3328</v>
      </c>
      <c r="D166" s="8">
        <v>24013328</v>
      </c>
      <c r="E166" s="8" t="str">
        <f t="shared" si="9"/>
        <v>2783 - 3328</v>
      </c>
      <c r="F166" s="12" t="s">
        <v>640</v>
      </c>
      <c r="G166" s="10">
        <v>13.5</v>
      </c>
      <c r="H166" s="8">
        <v>1</v>
      </c>
      <c r="I166" s="13">
        <v>1048.5</v>
      </c>
      <c r="J166" s="12" t="s">
        <v>50</v>
      </c>
      <c r="K166" s="8">
        <v>7101505202</v>
      </c>
      <c r="L166" s="8">
        <v>72022143771</v>
      </c>
      <c r="M166" s="12" t="s">
        <v>639</v>
      </c>
      <c r="N166" s="8" t="s">
        <v>368</v>
      </c>
      <c r="O166" s="11" t="str">
        <f t="shared" si="10"/>
        <v>53177201</v>
      </c>
      <c r="P166" s="11" t="str">
        <f t="shared" si="11"/>
        <v>53177201</v>
      </c>
      <c r="Q166" s="12" t="s">
        <v>1005</v>
      </c>
      <c r="R166" s="8">
        <v>2</v>
      </c>
      <c r="S166" s="8" t="s">
        <v>994</v>
      </c>
      <c r="T166" s="8" t="s">
        <v>79</v>
      </c>
      <c r="U166" s="28">
        <f>VLOOKUP($L166,Tabla1[#All],4,FALSE)</f>
        <v>20.015238</v>
      </c>
      <c r="V166" s="28">
        <f>VLOOKUP($L166,Tabla1[#All],5,FALSE)</f>
        <v>-75.833042000000006</v>
      </c>
      <c r="W166" s="43" t="s">
        <v>1717</v>
      </c>
    </row>
    <row r="167" spans="2:23" ht="15.6" customHeight="1">
      <c r="B167" s="8">
        <v>2783</v>
      </c>
      <c r="C167" s="16" t="str">
        <f t="shared" si="8"/>
        <v>2783-3329</v>
      </c>
      <c r="D167" s="8">
        <v>24013329</v>
      </c>
      <c r="E167" s="8" t="str">
        <f t="shared" si="9"/>
        <v>2783 - 3329</v>
      </c>
      <c r="F167" s="12" t="s">
        <v>641</v>
      </c>
      <c r="G167" s="10">
        <v>13.7</v>
      </c>
      <c r="H167" s="8">
        <v>1</v>
      </c>
      <c r="I167" s="13">
        <v>1199.7</v>
      </c>
      <c r="J167" s="12" t="s">
        <v>50</v>
      </c>
      <c r="K167" s="8">
        <v>7101505202</v>
      </c>
      <c r="L167" s="8">
        <v>72022143771</v>
      </c>
      <c r="M167" s="12" t="s">
        <v>639</v>
      </c>
      <c r="N167" s="8" t="s">
        <v>368</v>
      </c>
      <c r="O167" s="11" t="str">
        <f t="shared" si="10"/>
        <v>53177201</v>
      </c>
      <c r="P167" s="11" t="str">
        <f t="shared" si="11"/>
        <v>53177201</v>
      </c>
      <c r="Q167" s="12" t="s">
        <v>1005</v>
      </c>
      <c r="R167" s="8">
        <v>2</v>
      </c>
      <c r="S167" s="8" t="s">
        <v>994</v>
      </c>
      <c r="T167" s="8" t="s">
        <v>79</v>
      </c>
      <c r="U167" s="28">
        <f>VLOOKUP($L167,Tabla1[#All],4,FALSE)</f>
        <v>20.015238</v>
      </c>
      <c r="V167" s="28">
        <f>VLOOKUP($L167,Tabla1[#All],5,FALSE)</f>
        <v>-75.833042000000006</v>
      </c>
      <c r="W167" s="43" t="s">
        <v>1717</v>
      </c>
    </row>
    <row r="168" spans="2:23" ht="15.6" customHeight="1">
      <c r="B168" s="8">
        <v>2794</v>
      </c>
      <c r="C168" s="16" t="str">
        <f t="shared" si="8"/>
        <v>2794-3469</v>
      </c>
      <c r="D168" s="11">
        <v>24013469</v>
      </c>
      <c r="E168" s="8" t="str">
        <f t="shared" si="9"/>
        <v>2794 - 3469</v>
      </c>
      <c r="F168" s="12" t="s">
        <v>579</v>
      </c>
      <c r="G168" s="10">
        <v>9.1</v>
      </c>
      <c r="H168" s="8">
        <v>1</v>
      </c>
      <c r="I168" s="13">
        <v>746.1</v>
      </c>
      <c r="J168" s="12" t="s">
        <v>50</v>
      </c>
      <c r="K168" s="8">
        <v>7101505202</v>
      </c>
      <c r="L168" s="8">
        <v>72022143771</v>
      </c>
      <c r="M168" s="12" t="s">
        <v>367</v>
      </c>
      <c r="N168" s="8" t="s">
        <v>368</v>
      </c>
      <c r="O168" s="11" t="str">
        <f t="shared" si="10"/>
        <v>53177201</v>
      </c>
      <c r="P168" s="11" t="str">
        <f t="shared" si="11"/>
        <v>53177201</v>
      </c>
      <c r="Q168" s="12" t="s">
        <v>1039</v>
      </c>
      <c r="R168" s="8">
        <v>2</v>
      </c>
      <c r="S168" s="8" t="s">
        <v>994</v>
      </c>
      <c r="T168" s="8" t="s">
        <v>79</v>
      </c>
      <c r="U168" s="28">
        <f>VLOOKUP($L168,Tabla1[#All],4,FALSE)</f>
        <v>20.015238</v>
      </c>
      <c r="V168" s="28">
        <f>VLOOKUP($L168,Tabla1[#All],5,FALSE)</f>
        <v>-75.833042000000006</v>
      </c>
      <c r="W168" s="43" t="s">
        <v>1717</v>
      </c>
    </row>
    <row r="169" spans="2:23" ht="15.6" customHeight="1">
      <c r="B169" s="8">
        <v>2783</v>
      </c>
      <c r="C169" s="16" t="str">
        <f t="shared" si="8"/>
        <v>2783-3418</v>
      </c>
      <c r="D169" s="8">
        <v>24013418</v>
      </c>
      <c r="E169" s="8" t="str">
        <f t="shared" si="9"/>
        <v>2783 - 3418</v>
      </c>
      <c r="F169" s="12" t="s">
        <v>816</v>
      </c>
      <c r="G169" s="10">
        <v>26.8</v>
      </c>
      <c r="H169" s="8">
        <v>1</v>
      </c>
      <c r="I169" s="13">
        <v>2083.8000000000002</v>
      </c>
      <c r="J169" s="12" t="s">
        <v>813</v>
      </c>
      <c r="K169" s="8">
        <v>76032786969</v>
      </c>
      <c r="L169" s="8">
        <v>72121014239</v>
      </c>
      <c r="M169" s="12" t="s">
        <v>817</v>
      </c>
      <c r="N169" s="8" t="s">
        <v>818</v>
      </c>
      <c r="O169" s="11" t="str">
        <f t="shared" si="10"/>
        <v>56488692</v>
      </c>
      <c r="P169" s="11" t="str">
        <f t="shared" si="11"/>
        <v>56488691</v>
      </c>
      <c r="Q169" s="12" t="s">
        <v>1062</v>
      </c>
      <c r="R169" s="8">
        <v>2</v>
      </c>
      <c r="S169" s="8" t="s">
        <v>1045</v>
      </c>
      <c r="T169" s="8" t="s">
        <v>211</v>
      </c>
      <c r="U169" s="28">
        <f>VLOOKUP($L169,Tabla1[#All],4,FALSE)</f>
        <v>22.879549999999998</v>
      </c>
      <c r="V169" s="28">
        <f>VLOOKUP($L169,Tabla1[#All],5,FALSE)</f>
        <v>-80.390933000000004</v>
      </c>
      <c r="W169" s="43" t="s">
        <v>1718</v>
      </c>
    </row>
    <row r="170" spans="2:23" ht="15.6" customHeight="1">
      <c r="B170" s="8">
        <v>2864</v>
      </c>
      <c r="C170" s="16" t="str">
        <f t="shared" si="8"/>
        <v>2864-3579</v>
      </c>
      <c r="D170" s="8">
        <v>24013579</v>
      </c>
      <c r="E170" s="8" t="str">
        <f t="shared" si="9"/>
        <v>2864 - 3579</v>
      </c>
      <c r="F170" s="9" t="s">
        <v>203</v>
      </c>
      <c r="G170" s="10">
        <v>2.2000000000000002</v>
      </c>
      <c r="H170" s="11">
        <v>1</v>
      </c>
      <c r="I170" s="13">
        <v>295</v>
      </c>
      <c r="J170" s="12" t="s">
        <v>50</v>
      </c>
      <c r="K170" s="11">
        <v>7101505202</v>
      </c>
      <c r="L170" s="11">
        <v>73020204009</v>
      </c>
      <c r="M170" s="12" t="s">
        <v>204</v>
      </c>
      <c r="N170" s="8" t="s">
        <v>205</v>
      </c>
      <c r="O170" s="11" t="str">
        <f t="shared" si="10"/>
        <v>59116905</v>
      </c>
      <c r="P170" s="11" t="str">
        <f t="shared" si="11"/>
        <v>59116905</v>
      </c>
      <c r="Q170" s="12" t="s">
        <v>984</v>
      </c>
      <c r="R170" s="8">
        <v>2</v>
      </c>
      <c r="S170" s="8" t="s">
        <v>966</v>
      </c>
      <c r="T170" s="8" t="s">
        <v>202</v>
      </c>
      <c r="U170" s="28">
        <f>VLOOKUP($L170,Tabla1[#All],4,FALSE)</f>
        <v>22.437259000000001</v>
      </c>
      <c r="V170" s="28">
        <f>VLOOKUP($L170,Tabla1[#All],5,FALSE)</f>
        <v>-83.690078</v>
      </c>
      <c r="W170" s="43" t="s">
        <v>1717</v>
      </c>
    </row>
    <row r="171" spans="2:23" ht="15.6" customHeight="1">
      <c r="B171" s="8">
        <v>2864</v>
      </c>
      <c r="C171" s="16" t="str">
        <f t="shared" si="8"/>
        <v>2864-3609</v>
      </c>
      <c r="D171" s="8">
        <v>24013609</v>
      </c>
      <c r="E171" s="8" t="str">
        <f t="shared" si="9"/>
        <v>2864 - 3609</v>
      </c>
      <c r="F171" s="9" t="s">
        <v>58</v>
      </c>
      <c r="G171" s="10">
        <v>13.86</v>
      </c>
      <c r="H171" s="11">
        <v>1</v>
      </c>
      <c r="I171" s="13">
        <v>1743.6</v>
      </c>
      <c r="J171" s="12" t="s">
        <v>1198</v>
      </c>
      <c r="K171" s="11">
        <v>65082578945</v>
      </c>
      <c r="L171" s="11">
        <v>73050604116</v>
      </c>
      <c r="M171" s="12" t="s">
        <v>60</v>
      </c>
      <c r="N171" s="8" t="s">
        <v>61</v>
      </c>
      <c r="O171" s="11" t="str">
        <f t="shared" si="10"/>
        <v>59515559</v>
      </c>
      <c r="P171" s="11" t="str">
        <f t="shared" si="11"/>
        <v>55016267</v>
      </c>
      <c r="Q171" s="12" t="s">
        <v>866</v>
      </c>
      <c r="R171" s="8">
        <v>2</v>
      </c>
      <c r="S171" s="8" t="s">
        <v>863</v>
      </c>
      <c r="T171" s="8" t="s">
        <v>63</v>
      </c>
      <c r="U171" s="28">
        <f>VLOOKUP($L171,Tabla1[#All],4,FALSE)</f>
        <v>22.133112300000001</v>
      </c>
      <c r="V171" s="28">
        <f>VLOOKUP($L171,Tabla1[#All],5,FALSE)</f>
        <v>-80.442728799999998</v>
      </c>
      <c r="W171" s="43" t="s">
        <v>1718</v>
      </c>
    </row>
    <row r="172" spans="2:23" ht="15.6" customHeight="1">
      <c r="B172" s="8">
        <v>2864</v>
      </c>
      <c r="C172" s="16" t="str">
        <f t="shared" si="8"/>
        <v>2864-3621</v>
      </c>
      <c r="D172" s="8">
        <v>24013621</v>
      </c>
      <c r="E172" s="8" t="str">
        <f t="shared" si="9"/>
        <v>2864 - 3621</v>
      </c>
      <c r="F172" s="9" t="s">
        <v>90</v>
      </c>
      <c r="G172" s="10">
        <v>17.600000000000001</v>
      </c>
      <c r="H172" s="11">
        <v>1</v>
      </c>
      <c r="I172" s="13">
        <v>1426.5</v>
      </c>
      <c r="J172" s="12" t="s">
        <v>91</v>
      </c>
      <c r="K172" s="11">
        <v>71072105384</v>
      </c>
      <c r="L172" s="11">
        <v>73080718076</v>
      </c>
      <c r="M172" s="12" t="s">
        <v>92</v>
      </c>
      <c r="N172" s="8" t="s">
        <v>93</v>
      </c>
      <c r="O172" s="11" t="str">
        <f t="shared" si="10"/>
        <v>54088958</v>
      </c>
      <c r="P172" s="11" t="str">
        <f t="shared" si="11"/>
        <v>54088958</v>
      </c>
      <c r="Q172" s="12" t="s">
        <v>961</v>
      </c>
      <c r="R172" s="8">
        <v>2</v>
      </c>
      <c r="S172" s="8" t="s">
        <v>912</v>
      </c>
      <c r="T172" s="8" t="s">
        <v>69</v>
      </c>
      <c r="U172" s="28">
        <f>VLOOKUP($L172,Tabla1[#All],4,FALSE)</f>
        <v>20.879411999999999</v>
      </c>
      <c r="V172" s="28">
        <f>VLOOKUP($L172,Tabla1[#All],5,FALSE)</f>
        <v>-76.245239999999995</v>
      </c>
      <c r="W172" s="43" t="s">
        <v>1717</v>
      </c>
    </row>
    <row r="173" spans="2:23" ht="15.6" customHeight="1">
      <c r="B173" s="8">
        <v>2783</v>
      </c>
      <c r="C173" s="16" t="str">
        <f t="shared" si="8"/>
        <v>2783-3333</v>
      </c>
      <c r="D173" s="8">
        <v>24013333</v>
      </c>
      <c r="E173" s="8" t="str">
        <f t="shared" si="9"/>
        <v>2783 - 3333</v>
      </c>
      <c r="F173" s="12" t="s">
        <v>646</v>
      </c>
      <c r="G173" s="46">
        <v>19.399999999999999</v>
      </c>
      <c r="H173" s="8">
        <v>1</v>
      </c>
      <c r="I173" s="13">
        <v>295</v>
      </c>
      <c r="J173" s="12" t="s">
        <v>50</v>
      </c>
      <c r="K173" s="8">
        <v>7101505202</v>
      </c>
      <c r="L173" s="8">
        <v>73090128299</v>
      </c>
      <c r="M173" s="12" t="s">
        <v>505</v>
      </c>
      <c r="N173" s="8" t="s">
        <v>506</v>
      </c>
      <c r="O173" s="11" t="str">
        <f t="shared" si="10"/>
        <v>53984313</v>
      </c>
      <c r="P173" s="11" t="str">
        <f t="shared" si="11"/>
        <v>53984313</v>
      </c>
      <c r="Q173" s="12" t="s">
        <v>1097</v>
      </c>
      <c r="R173" s="8">
        <v>2</v>
      </c>
      <c r="S173" s="8" t="s">
        <v>1084</v>
      </c>
      <c r="T173" s="8" t="s">
        <v>185</v>
      </c>
      <c r="U173" s="28">
        <f>VLOOKUP($L173,Tabla1[#All],4,FALSE)</f>
        <v>23.049071999999999</v>
      </c>
      <c r="V173" s="28">
        <f>VLOOKUP($L173,Tabla1[#All],5,FALSE)</f>
        <v>-81.581620999999998</v>
      </c>
      <c r="W173" s="43" t="s">
        <v>1717</v>
      </c>
    </row>
    <row r="174" spans="2:23" ht="15.6" customHeight="1">
      <c r="B174" s="8">
        <v>2794</v>
      </c>
      <c r="C174" s="16" t="str">
        <f t="shared" si="8"/>
        <v>2794-3547</v>
      </c>
      <c r="D174" s="11">
        <v>24013547</v>
      </c>
      <c r="E174" s="8" t="str">
        <f t="shared" si="9"/>
        <v>2794 - 3547</v>
      </c>
      <c r="F174" s="12" t="s">
        <v>504</v>
      </c>
      <c r="G174" s="46">
        <v>17.5</v>
      </c>
      <c r="H174" s="8">
        <v>1</v>
      </c>
      <c r="I174" s="13">
        <v>295</v>
      </c>
      <c r="J174" s="12" t="s">
        <v>50</v>
      </c>
      <c r="K174" s="8">
        <v>7101505202</v>
      </c>
      <c r="L174" s="8">
        <v>73090128299</v>
      </c>
      <c r="M174" s="12" t="s">
        <v>505</v>
      </c>
      <c r="N174" s="8" t="s">
        <v>506</v>
      </c>
      <c r="O174" s="11" t="str">
        <f t="shared" si="10"/>
        <v>53984313</v>
      </c>
      <c r="P174" s="11" t="str">
        <f t="shared" si="11"/>
        <v>53984313</v>
      </c>
      <c r="Q174" s="12" t="s">
        <v>1090</v>
      </c>
      <c r="R174" s="8">
        <v>2</v>
      </c>
      <c r="S174" s="8" t="s">
        <v>1084</v>
      </c>
      <c r="T174" s="8" t="s">
        <v>185</v>
      </c>
      <c r="U174" s="28">
        <f>VLOOKUP($L174,Tabla1[#All],4,FALSE)</f>
        <v>23.049071999999999</v>
      </c>
      <c r="V174" s="28">
        <f>VLOOKUP($L174,Tabla1[#All],5,FALSE)</f>
        <v>-81.581620999999998</v>
      </c>
      <c r="W174" s="43" t="s">
        <v>1717</v>
      </c>
    </row>
    <row r="175" spans="2:23" ht="15.6" customHeight="1">
      <c r="B175" s="8">
        <v>2783</v>
      </c>
      <c r="C175" s="16" t="str">
        <f t="shared" si="8"/>
        <v>2783-3366</v>
      </c>
      <c r="D175" s="8">
        <v>24013366</v>
      </c>
      <c r="E175" s="8" t="str">
        <f t="shared" si="9"/>
        <v>2783 - 3366</v>
      </c>
      <c r="F175" s="12" t="s">
        <v>726</v>
      </c>
      <c r="G175" s="10">
        <v>17.3</v>
      </c>
      <c r="H175" s="8">
        <v>1</v>
      </c>
      <c r="I175" s="13">
        <v>1350.9</v>
      </c>
      <c r="J175" s="12" t="s">
        <v>50</v>
      </c>
      <c r="K175" s="8">
        <v>7101505202</v>
      </c>
      <c r="L175" s="8">
        <v>73112308599</v>
      </c>
      <c r="M175" s="12" t="s">
        <v>727</v>
      </c>
      <c r="N175" s="8" t="s">
        <v>728</v>
      </c>
      <c r="O175" s="11" t="str">
        <f t="shared" si="10"/>
        <v>53852381</v>
      </c>
      <c r="P175" s="11" t="str">
        <f t="shared" si="11"/>
        <v>53852381</v>
      </c>
      <c r="Q175" s="12" t="s">
        <v>936</v>
      </c>
      <c r="R175" s="8">
        <v>2</v>
      </c>
      <c r="S175" s="8" t="s">
        <v>918</v>
      </c>
      <c r="T175" s="8" t="s">
        <v>69</v>
      </c>
      <c r="U175" s="28">
        <f>VLOOKUP($L175,Tabla1[#All],4,FALSE)</f>
        <v>20.651634000000001</v>
      </c>
      <c r="V175" s="28">
        <f>VLOOKUP($L175,Tabla1[#All],5,FALSE)</f>
        <v>-75.679851999999997</v>
      </c>
      <c r="W175" s="43" t="s">
        <v>1717</v>
      </c>
    </row>
    <row r="176" spans="2:23" ht="15.6" customHeight="1">
      <c r="B176" s="8">
        <v>2783</v>
      </c>
      <c r="C176" s="16" t="str">
        <f t="shared" si="8"/>
        <v>2783-3367</v>
      </c>
      <c r="D176" s="8">
        <v>24013367</v>
      </c>
      <c r="E176" s="8" t="str">
        <f t="shared" si="9"/>
        <v>2783 - 3367</v>
      </c>
      <c r="F176" s="12" t="s">
        <v>729</v>
      </c>
      <c r="G176" s="10">
        <v>13.6</v>
      </c>
      <c r="H176" s="8">
        <v>1</v>
      </c>
      <c r="I176" s="13">
        <v>1048.5</v>
      </c>
      <c r="J176" s="12" t="s">
        <v>50</v>
      </c>
      <c r="K176" s="8">
        <v>7101505202</v>
      </c>
      <c r="L176" s="8">
        <v>74051813571</v>
      </c>
      <c r="M176" s="12" t="s">
        <v>730</v>
      </c>
      <c r="N176" s="8" t="s">
        <v>731</v>
      </c>
      <c r="O176" s="11" t="str">
        <f t="shared" si="10"/>
        <v>59894996</v>
      </c>
      <c r="P176" s="11" t="str">
        <f t="shared" si="11"/>
        <v>59894996</v>
      </c>
      <c r="Q176" s="12" t="s">
        <v>1524</v>
      </c>
      <c r="R176" s="8">
        <v>2</v>
      </c>
      <c r="S176" s="8" t="s">
        <v>919</v>
      </c>
      <c r="T176" s="8" t="s">
        <v>931</v>
      </c>
      <c r="U176" s="28">
        <f>VLOOKUP($L176,Tabla1[#All],4,FALSE)</f>
        <v>20.339673999999999</v>
      </c>
      <c r="V176" s="28">
        <f>VLOOKUP($L176,Tabla1[#All],5,FALSE)</f>
        <v>-77.140970999999993</v>
      </c>
      <c r="W176" s="43" t="s">
        <v>1717</v>
      </c>
    </row>
    <row r="177" spans="2:23" ht="15.6" customHeight="1">
      <c r="B177" s="34">
        <v>2794</v>
      </c>
      <c r="C177" s="35" t="str">
        <f t="shared" si="8"/>
        <v>2794-3459</v>
      </c>
      <c r="D177" s="36">
        <v>24013459</v>
      </c>
      <c r="E177" s="34" t="str">
        <f t="shared" si="9"/>
        <v>2794 - 3459</v>
      </c>
      <c r="F177" s="37" t="s">
        <v>589</v>
      </c>
      <c r="G177" s="38">
        <v>11.5</v>
      </c>
      <c r="H177" s="34">
        <v>1</v>
      </c>
      <c r="I177" s="39">
        <v>670.5</v>
      </c>
      <c r="J177" s="37" t="s">
        <v>50</v>
      </c>
      <c r="K177" s="34">
        <v>7101505202</v>
      </c>
      <c r="L177" s="34">
        <v>74082716370</v>
      </c>
      <c r="M177" s="37" t="s">
        <v>346</v>
      </c>
      <c r="N177" s="34" t="s">
        <v>347</v>
      </c>
      <c r="O177" s="36" t="str">
        <f t="shared" si="10"/>
        <v>58592905</v>
      </c>
      <c r="P177" s="36" t="str">
        <f t="shared" si="11"/>
        <v>58592905</v>
      </c>
      <c r="Q177" s="37" t="s">
        <v>951</v>
      </c>
      <c r="R177" s="34">
        <v>2</v>
      </c>
      <c r="S177" s="34" t="s">
        <v>917</v>
      </c>
      <c r="T177" s="34" t="s">
        <v>69</v>
      </c>
      <c r="U177" s="40">
        <f>VLOOKUP($L177,Tabla1[#All],4,FALSE)</f>
        <v>20.963442000000001</v>
      </c>
      <c r="V177" s="40">
        <f>VLOOKUP($L177,Tabla1[#All],5,FALSE)</f>
        <v>-75.720905000000002</v>
      </c>
      <c r="W177" s="44" t="s">
        <v>1717</v>
      </c>
    </row>
    <row r="178" spans="2:23" ht="15.6" customHeight="1">
      <c r="B178" s="8">
        <v>2794</v>
      </c>
      <c r="C178" s="16" t="str">
        <f t="shared" si="8"/>
        <v>2794-3487</v>
      </c>
      <c r="D178" s="11">
        <v>24013487</v>
      </c>
      <c r="E178" s="8" t="str">
        <f t="shared" si="9"/>
        <v>2794 - 3487</v>
      </c>
      <c r="F178" s="12" t="s">
        <v>571</v>
      </c>
      <c r="G178" s="10">
        <v>13.4</v>
      </c>
      <c r="H178" s="8">
        <v>1</v>
      </c>
      <c r="I178" s="13">
        <v>783.9</v>
      </c>
      <c r="J178" s="12" t="s">
        <v>50</v>
      </c>
      <c r="K178" s="8">
        <v>7101505202</v>
      </c>
      <c r="L178" s="8">
        <v>75050311826</v>
      </c>
      <c r="M178" s="12" t="s">
        <v>400</v>
      </c>
      <c r="N178" s="8" t="s">
        <v>401</v>
      </c>
      <c r="O178" s="11" t="str">
        <f t="shared" si="10"/>
        <v>58612744</v>
      </c>
      <c r="P178" s="11" t="str">
        <f t="shared" si="11"/>
        <v>58612744</v>
      </c>
      <c r="Q178" s="12" t="s">
        <v>1040</v>
      </c>
      <c r="R178" s="8">
        <v>2</v>
      </c>
      <c r="S178" s="8" t="s">
        <v>994</v>
      </c>
      <c r="T178" s="8" t="s">
        <v>79</v>
      </c>
      <c r="U178" s="28">
        <f>VLOOKUP($L178,Tabla1[#All],4,FALSE)</f>
        <v>20.026937</v>
      </c>
      <c r="V178" s="28">
        <f>VLOOKUP($L178,Tabla1[#All],5,FALSE)</f>
        <v>-75.797036000000006</v>
      </c>
      <c r="W178" s="43" t="s">
        <v>1717</v>
      </c>
    </row>
    <row r="179" spans="2:23" ht="15.6" customHeight="1">
      <c r="B179" s="8">
        <v>2794</v>
      </c>
      <c r="C179" s="16" t="str">
        <f t="shared" si="8"/>
        <v>2794-3552</v>
      </c>
      <c r="D179" s="11">
        <v>24013552</v>
      </c>
      <c r="E179" s="8" t="str">
        <f t="shared" si="9"/>
        <v>2794 - 3552</v>
      </c>
      <c r="F179" s="12" t="s">
        <v>517</v>
      </c>
      <c r="G179" s="10">
        <v>14.4</v>
      </c>
      <c r="H179" s="8">
        <v>1</v>
      </c>
      <c r="I179" s="13">
        <v>1124.0999999999999</v>
      </c>
      <c r="J179" s="12" t="s">
        <v>50</v>
      </c>
      <c r="K179" s="8">
        <v>7101505202</v>
      </c>
      <c r="L179" s="8">
        <v>75080718414</v>
      </c>
      <c r="M179" s="12" t="s">
        <v>518</v>
      </c>
      <c r="N179" s="8" t="s">
        <v>519</v>
      </c>
      <c r="O179" s="11" t="str">
        <f t="shared" si="10"/>
        <v>58592641</v>
      </c>
      <c r="P179" s="11" t="str">
        <f t="shared" si="11"/>
        <v>58592641</v>
      </c>
      <c r="Q179" s="12" t="s">
        <v>958</v>
      </c>
      <c r="R179" s="8">
        <v>2</v>
      </c>
      <c r="S179" s="8" t="s">
        <v>917</v>
      </c>
      <c r="T179" s="8" t="s">
        <v>69</v>
      </c>
      <c r="U179" s="28">
        <f>VLOOKUP($L179,Tabla1[#All],4,FALSE)</f>
        <v>20.828453</v>
      </c>
      <c r="V179" s="28">
        <f>VLOOKUP($L179,Tabla1[#All],5,FALSE)</f>
        <v>-75.837339</v>
      </c>
      <c r="W179" s="43" t="s">
        <v>1717</v>
      </c>
    </row>
    <row r="180" spans="2:23" ht="15.6" customHeight="1">
      <c r="B180" s="8">
        <v>2794</v>
      </c>
      <c r="C180" s="16" t="str">
        <f t="shared" si="8"/>
        <v>2794-3553</v>
      </c>
      <c r="D180" s="11">
        <v>24013553</v>
      </c>
      <c r="E180" s="8" t="str">
        <f t="shared" si="9"/>
        <v>2794 - 3553</v>
      </c>
      <c r="F180" s="12" t="s">
        <v>541</v>
      </c>
      <c r="G180" s="10">
        <v>12.3</v>
      </c>
      <c r="H180" s="8">
        <v>1</v>
      </c>
      <c r="I180" s="13">
        <v>972.9</v>
      </c>
      <c r="J180" s="12" t="s">
        <v>50</v>
      </c>
      <c r="K180" s="8">
        <v>7101505202</v>
      </c>
      <c r="L180" s="8">
        <v>75080718414</v>
      </c>
      <c r="M180" s="12" t="s">
        <v>518</v>
      </c>
      <c r="N180" s="8" t="s">
        <v>519</v>
      </c>
      <c r="O180" s="11" t="str">
        <f t="shared" si="10"/>
        <v>58592641</v>
      </c>
      <c r="P180" s="11" t="str">
        <f t="shared" si="11"/>
        <v>58592641</v>
      </c>
      <c r="Q180" s="12" t="s">
        <v>958</v>
      </c>
      <c r="R180" s="8">
        <v>2</v>
      </c>
      <c r="S180" s="8" t="s">
        <v>917</v>
      </c>
      <c r="T180" s="8" t="s">
        <v>69</v>
      </c>
      <c r="U180" s="28">
        <f>VLOOKUP($L180,Tabla1[#All],4,FALSE)</f>
        <v>20.828453</v>
      </c>
      <c r="V180" s="28">
        <f>VLOOKUP($L180,Tabla1[#All],5,FALSE)</f>
        <v>-75.837339</v>
      </c>
      <c r="W180" s="43" t="s">
        <v>1717</v>
      </c>
    </row>
    <row r="181" spans="2:23" ht="15.6" customHeight="1">
      <c r="B181" s="8">
        <v>2794</v>
      </c>
      <c r="C181" s="16" t="str">
        <f t="shared" si="8"/>
        <v>2794-3554</v>
      </c>
      <c r="D181" s="11">
        <v>24013554</v>
      </c>
      <c r="E181" s="8" t="str">
        <f t="shared" si="9"/>
        <v>2794 - 3554</v>
      </c>
      <c r="F181" s="12" t="s">
        <v>540</v>
      </c>
      <c r="G181" s="10">
        <v>17.7</v>
      </c>
      <c r="H181" s="8">
        <v>1</v>
      </c>
      <c r="I181" s="13">
        <v>1426.5</v>
      </c>
      <c r="J181" s="12" t="s">
        <v>50</v>
      </c>
      <c r="K181" s="8">
        <v>7101505202</v>
      </c>
      <c r="L181" s="8">
        <v>75080718414</v>
      </c>
      <c r="M181" s="12" t="s">
        <v>518</v>
      </c>
      <c r="N181" s="8" t="s">
        <v>519</v>
      </c>
      <c r="O181" s="11" t="str">
        <f t="shared" si="10"/>
        <v>58592641</v>
      </c>
      <c r="P181" s="11" t="str">
        <f t="shared" si="11"/>
        <v>58592641</v>
      </c>
      <c r="Q181" s="12" t="s">
        <v>958</v>
      </c>
      <c r="R181" s="8">
        <v>2</v>
      </c>
      <c r="S181" s="8" t="s">
        <v>917</v>
      </c>
      <c r="T181" s="8" t="s">
        <v>69</v>
      </c>
      <c r="U181" s="28">
        <f>VLOOKUP($L181,Tabla1[#All],4,FALSE)</f>
        <v>20.828453</v>
      </c>
      <c r="V181" s="28">
        <f>VLOOKUP($L181,Tabla1[#All],5,FALSE)</f>
        <v>-75.837339</v>
      </c>
      <c r="W181" s="43" t="s">
        <v>1717</v>
      </c>
    </row>
    <row r="182" spans="2:23" ht="15.6" customHeight="1">
      <c r="B182" s="8">
        <v>2783</v>
      </c>
      <c r="C182" s="16" t="str">
        <f t="shared" si="8"/>
        <v>2783-3342</v>
      </c>
      <c r="D182" s="8">
        <v>24013342</v>
      </c>
      <c r="E182" s="8" t="str">
        <f t="shared" si="9"/>
        <v>2783 - 3342</v>
      </c>
      <c r="F182" s="12" t="s">
        <v>663</v>
      </c>
      <c r="G182" s="10">
        <v>5.7</v>
      </c>
      <c r="H182" s="8">
        <v>1</v>
      </c>
      <c r="I182" s="13">
        <v>295</v>
      </c>
      <c r="J182" s="12" t="s">
        <v>50</v>
      </c>
      <c r="K182" s="8">
        <v>7101505202</v>
      </c>
      <c r="L182" s="8">
        <v>75090212711</v>
      </c>
      <c r="M182" s="12" t="s">
        <v>664</v>
      </c>
      <c r="N182" s="8" t="s">
        <v>665</v>
      </c>
      <c r="O182" s="11" t="str">
        <f t="shared" si="10"/>
        <v>54970726</v>
      </c>
      <c r="P182" s="11" t="str">
        <f t="shared" si="11"/>
        <v>54970726</v>
      </c>
      <c r="Q182" s="12" t="s">
        <v>1007</v>
      </c>
      <c r="R182" s="8">
        <v>2</v>
      </c>
      <c r="S182" s="8" t="s">
        <v>997</v>
      </c>
      <c r="T182" s="8" t="s">
        <v>1012</v>
      </c>
      <c r="U182" s="28">
        <f>VLOOKUP($L182,Tabla1[#All],4,FALSE)</f>
        <v>20.152187000000001</v>
      </c>
      <c r="V182" s="28">
        <f>VLOOKUP($L182,Tabla1[#All],5,FALSE)</f>
        <v>-75.195053999999999</v>
      </c>
      <c r="W182" s="43" t="s">
        <v>1717</v>
      </c>
    </row>
    <row r="183" spans="2:23" ht="15.6" customHeight="1">
      <c r="B183" s="8">
        <v>2783</v>
      </c>
      <c r="C183" s="16" t="str">
        <f t="shared" si="8"/>
        <v>2783-3384</v>
      </c>
      <c r="D183" s="8">
        <v>24013384</v>
      </c>
      <c r="E183" s="8" t="str">
        <f t="shared" si="9"/>
        <v>2783 - 3384</v>
      </c>
      <c r="F183" s="12" t="s">
        <v>770</v>
      </c>
      <c r="G183" s="10">
        <v>12.4</v>
      </c>
      <c r="H183" s="8">
        <v>1</v>
      </c>
      <c r="I183" s="13">
        <v>1026.45</v>
      </c>
      <c r="J183" s="12" t="s">
        <v>50</v>
      </c>
      <c r="K183" s="8">
        <v>7101505202</v>
      </c>
      <c r="L183" s="8">
        <v>76033132234</v>
      </c>
      <c r="M183" s="12" t="s">
        <v>771</v>
      </c>
      <c r="N183" s="8" t="s">
        <v>772</v>
      </c>
      <c r="O183" s="11" t="str">
        <f t="shared" si="10"/>
        <v>54676956</v>
      </c>
      <c r="P183" s="11" t="str">
        <f t="shared" si="11"/>
        <v>54676956</v>
      </c>
      <c r="Q183" s="12" t="s">
        <v>940</v>
      </c>
      <c r="R183" s="8">
        <v>2</v>
      </c>
      <c r="S183" s="8" t="s">
        <v>915</v>
      </c>
      <c r="T183" s="8" t="s">
        <v>931</v>
      </c>
      <c r="U183" s="28">
        <f>VLOOKUP($L183,Tabla1[#All],4,FALSE)</f>
        <v>20.365473000000001</v>
      </c>
      <c r="V183" s="28">
        <f>VLOOKUP($L183,Tabla1[#All],5,FALSE)</f>
        <v>-76.639556999999996</v>
      </c>
      <c r="W183" s="43" t="s">
        <v>1717</v>
      </c>
    </row>
    <row r="184" spans="2:23" ht="15.6" customHeight="1">
      <c r="B184" s="8">
        <v>2783</v>
      </c>
      <c r="C184" s="16" t="str">
        <f t="shared" si="8"/>
        <v>2783-3310</v>
      </c>
      <c r="D184" s="8">
        <v>24013310</v>
      </c>
      <c r="E184" s="8" t="str">
        <f t="shared" si="9"/>
        <v>2783 - 3310</v>
      </c>
      <c r="F184" s="12" t="s">
        <v>33</v>
      </c>
      <c r="G184" s="10">
        <v>26.8</v>
      </c>
      <c r="H184" s="8">
        <v>1</v>
      </c>
      <c r="I184" s="13">
        <v>2083.8000000000002</v>
      </c>
      <c r="J184" s="12" t="s">
        <v>599</v>
      </c>
      <c r="K184" s="8">
        <v>65082578945</v>
      </c>
      <c r="L184" s="8">
        <v>76041518428</v>
      </c>
      <c r="M184" s="12" t="s">
        <v>1107</v>
      </c>
      <c r="N184" s="8" t="s">
        <v>600</v>
      </c>
      <c r="O184" s="11" t="str">
        <f t="shared" si="10"/>
        <v>54769626</v>
      </c>
      <c r="P184" s="11" t="str">
        <f t="shared" si="11"/>
        <v>59600357</v>
      </c>
      <c r="Q184" s="12" t="s">
        <v>1201</v>
      </c>
      <c r="R184" s="8">
        <v>2</v>
      </c>
      <c r="S184" s="8" t="s">
        <v>867</v>
      </c>
      <c r="T184" s="8" t="s">
        <v>358</v>
      </c>
      <c r="U184" s="28">
        <f>VLOOKUP($L184,Tabla1[#All],4,FALSE)</f>
        <v>21.369592999999998</v>
      </c>
      <c r="V184" s="28">
        <f>VLOOKUP($L184,Tabla1[#All],5,FALSE)</f>
        <v>-77.920025999999993</v>
      </c>
      <c r="W184" s="43" t="s">
        <v>1719</v>
      </c>
    </row>
    <row r="185" spans="2:23" ht="15.6" customHeight="1">
      <c r="B185" s="8">
        <v>2783</v>
      </c>
      <c r="C185" s="16" t="str">
        <f t="shared" si="8"/>
        <v>2783-3343</v>
      </c>
      <c r="D185" s="8">
        <v>24013343</v>
      </c>
      <c r="E185" s="8" t="str">
        <f t="shared" si="9"/>
        <v>2783 - 3343</v>
      </c>
      <c r="F185" s="12" t="s">
        <v>666</v>
      </c>
      <c r="G185" s="55">
        <v>18.899999999999999</v>
      </c>
      <c r="H185" s="8">
        <v>1</v>
      </c>
      <c r="I185" s="13">
        <v>1781.4</v>
      </c>
      <c r="J185" s="12" t="s">
        <v>50</v>
      </c>
      <c r="K185" s="8">
        <v>7101505202</v>
      </c>
      <c r="L185" s="8">
        <v>76061403172</v>
      </c>
      <c r="M185" s="12" t="s">
        <v>667</v>
      </c>
      <c r="N185" s="8" t="s">
        <v>668</v>
      </c>
      <c r="O185" s="11" t="str">
        <f t="shared" si="10"/>
        <v>56957470</v>
      </c>
      <c r="P185" s="11" t="str">
        <f t="shared" si="11"/>
        <v>56957470</v>
      </c>
      <c r="Q185" s="12" t="s">
        <v>899</v>
      </c>
      <c r="R185" s="8">
        <v>2</v>
      </c>
      <c r="S185" s="8" t="s">
        <v>837</v>
      </c>
      <c r="T185" s="8" t="s">
        <v>104</v>
      </c>
      <c r="U185" s="28">
        <f>VLOOKUP($L185,Tabla1[#All],4,FALSE)</f>
        <v>21.399850900000001</v>
      </c>
      <c r="V185" s="28">
        <f>VLOOKUP($L185,Tabla1[#All],5,FALSE)</f>
        <v>-77.893540999999999</v>
      </c>
      <c r="W185" s="43" t="s">
        <v>1717</v>
      </c>
    </row>
    <row r="186" spans="2:23" ht="15.6" customHeight="1">
      <c r="B186" s="8">
        <v>2783</v>
      </c>
      <c r="C186" s="16" t="str">
        <f t="shared" si="8"/>
        <v>2783-3385</v>
      </c>
      <c r="D186" s="8">
        <v>24013385</v>
      </c>
      <c r="E186" s="8" t="str">
        <f t="shared" si="9"/>
        <v>2783 - 3385</v>
      </c>
      <c r="F186" s="12" t="s">
        <v>773</v>
      </c>
      <c r="G186" s="10">
        <v>19.8</v>
      </c>
      <c r="H186" s="8">
        <v>1</v>
      </c>
      <c r="I186" s="13">
        <v>1638.6</v>
      </c>
      <c r="J186" s="12" t="s">
        <v>50</v>
      </c>
      <c r="K186" s="8">
        <v>7101505202</v>
      </c>
      <c r="L186" s="8">
        <v>76070712017</v>
      </c>
      <c r="M186" s="12" t="s">
        <v>774</v>
      </c>
      <c r="N186" s="8" t="s">
        <v>775</v>
      </c>
      <c r="O186" s="11" t="str">
        <f t="shared" si="10"/>
        <v>63813888</v>
      </c>
      <c r="P186" s="11" t="str">
        <f t="shared" si="11"/>
        <v>63813888</v>
      </c>
      <c r="Q186" s="12" t="s">
        <v>1689</v>
      </c>
      <c r="R186" s="8">
        <v>2</v>
      </c>
      <c r="S186" s="8" t="s">
        <v>994</v>
      </c>
      <c r="T186" s="8" t="s">
        <v>79</v>
      </c>
      <c r="U186" s="28">
        <f>VLOOKUP($L186,Tabla1[#All],4,FALSE)</f>
        <v>20.012371000000002</v>
      </c>
      <c r="V186" s="28">
        <f>VLOOKUP($L186,Tabla1[#All],5,FALSE)</f>
        <v>-75.773431000000002</v>
      </c>
      <c r="W186" s="43" t="s">
        <v>1717</v>
      </c>
    </row>
    <row r="187" spans="2:23" ht="15.6" customHeight="1">
      <c r="B187" s="8">
        <v>2864</v>
      </c>
      <c r="C187" s="16" t="str">
        <f t="shared" si="8"/>
        <v>2864-3618</v>
      </c>
      <c r="D187" s="8">
        <v>24013618</v>
      </c>
      <c r="E187" s="8" t="str">
        <f t="shared" si="9"/>
        <v>2864 - 3618</v>
      </c>
      <c r="F187" s="9" t="s">
        <v>64</v>
      </c>
      <c r="G187" s="10">
        <v>20</v>
      </c>
      <c r="H187" s="11">
        <v>1</v>
      </c>
      <c r="I187" s="13">
        <v>1577.7</v>
      </c>
      <c r="J187" s="12" t="s">
        <v>65</v>
      </c>
      <c r="K187" s="11">
        <v>71072105384</v>
      </c>
      <c r="L187" s="11">
        <v>76113014433</v>
      </c>
      <c r="M187" s="12" t="s">
        <v>66</v>
      </c>
      <c r="N187" s="8" t="s">
        <v>67</v>
      </c>
      <c r="O187" s="11" t="str">
        <f t="shared" si="10"/>
        <v>63605175</v>
      </c>
      <c r="P187" s="11" t="str">
        <f t="shared" si="11"/>
        <v>63605175</v>
      </c>
      <c r="Q187" s="12" t="s">
        <v>960</v>
      </c>
      <c r="R187" s="8">
        <v>2</v>
      </c>
      <c r="S187" s="8" t="s">
        <v>915</v>
      </c>
      <c r="T187" s="8" t="s">
        <v>931</v>
      </c>
      <c r="U187" s="28">
        <f>VLOOKUP($L187,Tabla1[#All],4,FALSE)</f>
        <v>20.387584</v>
      </c>
      <c r="V187" s="28">
        <f>VLOOKUP($L187,Tabla1[#All],5,FALSE)</f>
        <v>-76.646164999999996</v>
      </c>
      <c r="W187" s="43" t="s">
        <v>1717</v>
      </c>
    </row>
    <row r="188" spans="2:23" ht="15.6" customHeight="1">
      <c r="B188" s="8">
        <v>2783</v>
      </c>
      <c r="C188" s="16" t="str">
        <f t="shared" si="8"/>
        <v>2783-3360</v>
      </c>
      <c r="D188" s="8">
        <v>24013360</v>
      </c>
      <c r="E188" s="8" t="str">
        <f t="shared" si="9"/>
        <v>2783 - 3360</v>
      </c>
      <c r="F188" s="12" t="s">
        <v>708</v>
      </c>
      <c r="G188" s="10">
        <v>14.9</v>
      </c>
      <c r="H188" s="8">
        <v>1</v>
      </c>
      <c r="I188" s="13">
        <v>1199.7</v>
      </c>
      <c r="J188" s="12" t="s">
        <v>50</v>
      </c>
      <c r="K188" s="8">
        <v>7101505202</v>
      </c>
      <c r="L188" s="8">
        <v>77050507653</v>
      </c>
      <c r="M188" s="12" t="s">
        <v>709</v>
      </c>
      <c r="N188" s="8" t="s">
        <v>710</v>
      </c>
      <c r="O188" s="11" t="str">
        <f t="shared" si="10"/>
        <v>58203801</v>
      </c>
      <c r="P188" s="11" t="str">
        <f t="shared" si="11"/>
        <v>54733777</v>
      </c>
      <c r="Q188" s="12" t="s">
        <v>973</v>
      </c>
      <c r="R188" s="8">
        <v>2</v>
      </c>
      <c r="S188" s="8" t="s">
        <v>967</v>
      </c>
      <c r="T188" s="8" t="s">
        <v>202</v>
      </c>
      <c r="U188" s="28">
        <f>VLOOKUP($L188,Tabla1[#All],4,FALSE)</f>
        <v>22.521993999999999</v>
      </c>
      <c r="V188" s="28">
        <f>VLOOKUP($L188,Tabla1[#All],5,FALSE)</f>
        <v>-83.414097999999996</v>
      </c>
      <c r="W188" s="43" t="s">
        <v>1717</v>
      </c>
    </row>
    <row r="189" spans="2:23" ht="15.6" customHeight="1">
      <c r="B189" s="8">
        <v>2783</v>
      </c>
      <c r="C189" s="16" t="str">
        <f t="shared" si="8"/>
        <v>2783-3374</v>
      </c>
      <c r="D189" s="8">
        <v>24013374</v>
      </c>
      <c r="E189" s="8" t="str">
        <f t="shared" si="9"/>
        <v>2783 - 3374</v>
      </c>
      <c r="F189" s="12" t="s">
        <v>750</v>
      </c>
      <c r="G189" s="10">
        <v>10.1</v>
      </c>
      <c r="H189" s="8">
        <v>1</v>
      </c>
      <c r="I189" s="13">
        <v>295</v>
      </c>
      <c r="J189" s="12" t="s">
        <v>50</v>
      </c>
      <c r="K189" s="8">
        <v>7101505202</v>
      </c>
      <c r="L189" s="8">
        <v>77050507653</v>
      </c>
      <c r="M189" s="12" t="s">
        <v>709</v>
      </c>
      <c r="N189" s="8" t="s">
        <v>710</v>
      </c>
      <c r="O189" s="11" t="str">
        <f t="shared" si="10"/>
        <v>58203801</v>
      </c>
      <c r="P189" s="11" t="str">
        <f t="shared" si="11"/>
        <v>54733777</v>
      </c>
      <c r="Q189" s="12" t="s">
        <v>973</v>
      </c>
      <c r="R189" s="8">
        <v>2</v>
      </c>
      <c r="S189" s="8" t="s">
        <v>967</v>
      </c>
      <c r="T189" s="8" t="s">
        <v>202</v>
      </c>
      <c r="U189" s="28">
        <f>VLOOKUP($L189,Tabla1[#All],4,FALSE)</f>
        <v>22.521993999999999</v>
      </c>
      <c r="V189" s="28">
        <f>VLOOKUP($L189,Tabla1[#All],5,FALSE)</f>
        <v>-83.414097999999996</v>
      </c>
      <c r="W189" s="43" t="s">
        <v>1717</v>
      </c>
    </row>
    <row r="190" spans="2:23" ht="15.6" customHeight="1">
      <c r="B190" s="8">
        <v>2783</v>
      </c>
      <c r="C190" s="16" t="str">
        <f t="shared" si="8"/>
        <v>2783-3375</v>
      </c>
      <c r="D190" s="8">
        <v>24013375</v>
      </c>
      <c r="E190" s="8" t="str">
        <f t="shared" si="9"/>
        <v>2783 - 3375</v>
      </c>
      <c r="F190" s="12" t="s">
        <v>751</v>
      </c>
      <c r="G190" s="10">
        <v>14.5</v>
      </c>
      <c r="H190" s="8">
        <v>1</v>
      </c>
      <c r="I190" s="13">
        <v>1124.0999999999999</v>
      </c>
      <c r="J190" s="12" t="s">
        <v>50</v>
      </c>
      <c r="K190" s="8">
        <v>7101505202</v>
      </c>
      <c r="L190" s="8">
        <v>77050507653</v>
      </c>
      <c r="M190" s="12" t="s">
        <v>709</v>
      </c>
      <c r="N190" s="8" t="s">
        <v>710</v>
      </c>
      <c r="O190" s="11" t="str">
        <f t="shared" si="10"/>
        <v>58203801</v>
      </c>
      <c r="P190" s="11" t="str">
        <f t="shared" si="11"/>
        <v>54733777</v>
      </c>
      <c r="Q190" s="12" t="s">
        <v>973</v>
      </c>
      <c r="R190" s="8">
        <v>2</v>
      </c>
      <c r="S190" s="8" t="s">
        <v>967</v>
      </c>
      <c r="T190" s="8" t="s">
        <v>202</v>
      </c>
      <c r="U190" s="28">
        <f>VLOOKUP($L190,Tabla1[#All],4,FALSE)</f>
        <v>22.521993999999999</v>
      </c>
      <c r="V190" s="28">
        <f>VLOOKUP($L190,Tabla1[#All],5,FALSE)</f>
        <v>-83.414097999999996</v>
      </c>
      <c r="W190" s="43" t="s">
        <v>1717</v>
      </c>
    </row>
    <row r="191" spans="2:23" ht="15.6" customHeight="1">
      <c r="B191" s="8">
        <v>2794</v>
      </c>
      <c r="C191" s="16" t="str">
        <f t="shared" si="8"/>
        <v>2794-3516</v>
      </c>
      <c r="D191" s="11">
        <v>24013516</v>
      </c>
      <c r="E191" s="8" t="str">
        <f t="shared" si="9"/>
        <v>2794 - 3516</v>
      </c>
      <c r="F191" s="12" t="s">
        <v>553</v>
      </c>
      <c r="G191" s="10">
        <v>25.3</v>
      </c>
      <c r="H191" s="8">
        <v>1</v>
      </c>
      <c r="I191" s="13">
        <v>1819.2</v>
      </c>
      <c r="J191" s="12" t="s">
        <v>50</v>
      </c>
      <c r="K191" s="8">
        <v>7101505202</v>
      </c>
      <c r="L191" s="8">
        <v>77061001018</v>
      </c>
      <c r="M191" s="12" t="s">
        <v>453</v>
      </c>
      <c r="N191" s="8" t="s">
        <v>454</v>
      </c>
      <c r="O191" s="11" t="str">
        <f t="shared" si="10"/>
        <v>53157703</v>
      </c>
      <c r="P191" s="11" t="str">
        <f t="shared" si="11"/>
        <v>53157703</v>
      </c>
      <c r="Q191" s="12" t="s">
        <v>1065</v>
      </c>
      <c r="R191" s="8">
        <v>2</v>
      </c>
      <c r="S191" s="8" t="s">
        <v>1046</v>
      </c>
      <c r="T191" s="8" t="s">
        <v>1052</v>
      </c>
      <c r="U191" s="28">
        <f>VLOOKUP($L191,Tabla1[#All],4,FALSE)</f>
        <v>22.159973000000001</v>
      </c>
      <c r="V191" s="28">
        <f>VLOOKUP($L191,Tabla1[#All],5,FALSE)</f>
        <v>-79.090001000000001</v>
      </c>
      <c r="W191" s="43" t="s">
        <v>1718</v>
      </c>
    </row>
    <row r="192" spans="2:23" ht="15.6" customHeight="1">
      <c r="B192" s="8">
        <v>2864</v>
      </c>
      <c r="C192" s="16" t="str">
        <f t="shared" si="8"/>
        <v>2864-3639</v>
      </c>
      <c r="D192" s="8">
        <v>24013639</v>
      </c>
      <c r="E192" s="8" t="str">
        <f t="shared" si="9"/>
        <v>2864 - 3639</v>
      </c>
      <c r="F192" s="9" t="s">
        <v>32</v>
      </c>
      <c r="G192" s="10">
        <v>18.399999999999999</v>
      </c>
      <c r="H192" s="11">
        <v>1</v>
      </c>
      <c r="I192" s="13">
        <v>1426.5</v>
      </c>
      <c r="J192" s="12" t="s">
        <v>75</v>
      </c>
      <c r="K192" s="11">
        <v>7101505202</v>
      </c>
      <c r="L192" s="11">
        <v>77070625219</v>
      </c>
      <c r="M192" s="12" t="s">
        <v>76</v>
      </c>
      <c r="N192" s="8" t="s">
        <v>77</v>
      </c>
      <c r="O192" s="11" t="str">
        <f t="shared" si="10"/>
        <v>53166393</v>
      </c>
      <c r="P192" s="11" t="str">
        <f t="shared" si="11"/>
        <v>53166393</v>
      </c>
      <c r="Q192" s="12" t="s">
        <v>1036</v>
      </c>
      <c r="R192" s="8">
        <v>2</v>
      </c>
      <c r="S192" s="8" t="s">
        <v>1002</v>
      </c>
      <c r="T192" s="8" t="s">
        <v>1012</v>
      </c>
      <c r="U192" s="28">
        <f>VLOOKUP($L192,Tabla1[#All],4,FALSE)</f>
        <v>20.347678999999999</v>
      </c>
      <c r="V192" s="28">
        <f>VLOOKUP($L192,Tabla1[#All],5,FALSE)</f>
        <v>-74.497591</v>
      </c>
      <c r="W192" s="43" t="s">
        <v>1717</v>
      </c>
    </row>
    <row r="193" spans="2:23" ht="15.6" customHeight="1">
      <c r="B193" s="8">
        <v>2864</v>
      </c>
      <c r="C193" s="16" t="str">
        <f t="shared" si="8"/>
        <v>2864-3640</v>
      </c>
      <c r="D193" s="8">
        <v>24013640</v>
      </c>
      <c r="E193" s="8" t="str">
        <f t="shared" si="9"/>
        <v>2864 - 3640</v>
      </c>
      <c r="F193" s="9" t="s">
        <v>80</v>
      </c>
      <c r="G193" s="10">
        <v>14.2</v>
      </c>
      <c r="H193" s="11">
        <v>1</v>
      </c>
      <c r="I193" s="13">
        <v>1010.7</v>
      </c>
      <c r="J193" s="12" t="s">
        <v>75</v>
      </c>
      <c r="K193" s="11">
        <v>7101505202</v>
      </c>
      <c r="L193" s="11">
        <v>77070625219</v>
      </c>
      <c r="M193" s="12" t="s">
        <v>76</v>
      </c>
      <c r="N193" s="8" t="s">
        <v>77</v>
      </c>
      <c r="O193" s="11" t="str">
        <f t="shared" si="10"/>
        <v>53166393</v>
      </c>
      <c r="P193" s="11" t="str">
        <f t="shared" si="11"/>
        <v>53166393</v>
      </c>
      <c r="Q193" s="12" t="s">
        <v>1036</v>
      </c>
      <c r="R193" s="8">
        <v>2</v>
      </c>
      <c r="S193" s="8" t="s">
        <v>1002</v>
      </c>
      <c r="T193" s="8" t="s">
        <v>1012</v>
      </c>
      <c r="U193" s="28">
        <f>VLOOKUP($L193,Tabla1[#All],4,FALSE)</f>
        <v>20.347678999999999</v>
      </c>
      <c r="V193" s="28">
        <f>VLOOKUP($L193,Tabla1[#All],5,FALSE)</f>
        <v>-74.497591</v>
      </c>
      <c r="W193" s="43" t="s">
        <v>1717</v>
      </c>
    </row>
    <row r="194" spans="2:23" ht="15.6" customHeight="1">
      <c r="B194" s="8">
        <v>2783</v>
      </c>
      <c r="C194" s="16" t="str">
        <f t="shared" si="8"/>
        <v>2783-3317</v>
      </c>
      <c r="D194" s="8">
        <v>24013317</v>
      </c>
      <c r="E194" s="8" t="str">
        <f t="shared" si="9"/>
        <v>2783 - 3317</v>
      </c>
      <c r="F194" s="12" t="s">
        <v>617</v>
      </c>
      <c r="G194" s="10">
        <v>12.4</v>
      </c>
      <c r="H194" s="8">
        <v>1</v>
      </c>
      <c r="I194" s="13">
        <v>1426.5</v>
      </c>
      <c r="J194" s="12" t="s">
        <v>618</v>
      </c>
      <c r="K194" s="8">
        <v>65082578945</v>
      </c>
      <c r="L194" s="8">
        <v>78060519520</v>
      </c>
      <c r="M194" s="12" t="s">
        <v>619</v>
      </c>
      <c r="N194" s="8" t="s">
        <v>620</v>
      </c>
      <c r="O194" s="11" t="str">
        <f t="shared" si="10"/>
        <v>53280226</v>
      </c>
      <c r="P194" s="11" t="str">
        <f t="shared" si="11"/>
        <v>53280226</v>
      </c>
      <c r="Q194" s="12" t="s">
        <v>1071</v>
      </c>
      <c r="R194" s="8">
        <v>2</v>
      </c>
      <c r="S194" s="8" t="s">
        <v>1041</v>
      </c>
      <c r="T194" s="8" t="s">
        <v>1052</v>
      </c>
      <c r="U194" s="28">
        <f>VLOOKUP($L194,Tabla1[#All],4,FALSE)</f>
        <v>21.945965000000001</v>
      </c>
      <c r="V194" s="28">
        <f>VLOOKUP($L194,Tabla1[#All],5,FALSE)</f>
        <v>-79.449241999999998</v>
      </c>
      <c r="W194" s="43" t="s">
        <v>1718</v>
      </c>
    </row>
    <row r="195" spans="2:23" ht="15.6" customHeight="1">
      <c r="B195" s="8">
        <v>2864</v>
      </c>
      <c r="C195" s="16" t="str">
        <f t="shared" ref="C195:C258" si="12">CONCATENATE(B195,"-",RIGHT(D195,4))</f>
        <v>2864-3641</v>
      </c>
      <c r="D195" s="8">
        <v>24013641</v>
      </c>
      <c r="E195" s="8" t="str">
        <f t="shared" ref="E195:E258" si="13">CONCATENATE(B195," - ",RIGHT(D195,4))</f>
        <v>2864 - 3641</v>
      </c>
      <c r="F195" s="9" t="s">
        <v>33</v>
      </c>
      <c r="G195" s="55">
        <v>8.3800000000000008</v>
      </c>
      <c r="H195" s="11">
        <v>1</v>
      </c>
      <c r="I195" s="13">
        <v>670.5</v>
      </c>
      <c r="J195" s="12" t="s">
        <v>38</v>
      </c>
      <c r="K195" s="11">
        <v>7101505202</v>
      </c>
      <c r="L195" s="11">
        <v>79080400017</v>
      </c>
      <c r="M195" s="12" t="s">
        <v>39</v>
      </c>
      <c r="N195" s="8" t="s">
        <v>40</v>
      </c>
      <c r="O195" s="11" t="str">
        <f t="shared" ref="O195:O258" si="14">LEFT(N195,8)</f>
        <v>56688789</v>
      </c>
      <c r="P195" s="11" t="str">
        <f t="shared" ref="P195:P258" si="15">RIGHT(N195,8)</f>
        <v>56688789</v>
      </c>
      <c r="Q195" s="12" t="s">
        <v>860</v>
      </c>
      <c r="R195" s="8">
        <v>2</v>
      </c>
      <c r="S195" s="8" t="s">
        <v>850</v>
      </c>
      <c r="T195" s="8" t="s">
        <v>31</v>
      </c>
      <c r="U195" s="28">
        <f>VLOOKUP($L195,Tabla1[#All],4,FALSE)</f>
        <v>22.814188999999999</v>
      </c>
      <c r="V195" s="28">
        <f>VLOOKUP($L195,Tabla1[#All],5,FALSE)</f>
        <v>-82.758707999999999</v>
      </c>
      <c r="W195" s="43" t="s">
        <v>1717</v>
      </c>
    </row>
    <row r="196" spans="2:23" ht="15.6" customHeight="1">
      <c r="B196" s="8">
        <v>2864</v>
      </c>
      <c r="C196" s="16" t="str">
        <f t="shared" si="12"/>
        <v>2864-3642</v>
      </c>
      <c r="D196" s="8">
        <v>24013642</v>
      </c>
      <c r="E196" s="8" t="str">
        <f t="shared" si="13"/>
        <v>2864 - 3642</v>
      </c>
      <c r="F196" s="9" t="s">
        <v>42</v>
      </c>
      <c r="G196" s="55">
        <v>6.82</v>
      </c>
      <c r="H196" s="11">
        <v>1</v>
      </c>
      <c r="I196" s="13">
        <v>3142.2</v>
      </c>
      <c r="J196" s="12" t="s">
        <v>38</v>
      </c>
      <c r="K196" s="11">
        <v>7101505202</v>
      </c>
      <c r="L196" s="11">
        <v>79080400017</v>
      </c>
      <c r="M196" s="12" t="s">
        <v>39</v>
      </c>
      <c r="N196" s="8" t="s">
        <v>40</v>
      </c>
      <c r="O196" s="11" t="str">
        <f t="shared" si="14"/>
        <v>56688789</v>
      </c>
      <c r="P196" s="11" t="str">
        <f t="shared" si="15"/>
        <v>56688789</v>
      </c>
      <c r="Q196" s="12" t="s">
        <v>860</v>
      </c>
      <c r="R196" s="8">
        <v>2</v>
      </c>
      <c r="S196" s="8" t="s">
        <v>850</v>
      </c>
      <c r="T196" s="8" t="s">
        <v>31</v>
      </c>
      <c r="U196" s="28">
        <f>VLOOKUP($L196,Tabla1[#All],4,FALSE)</f>
        <v>22.814188999999999</v>
      </c>
      <c r="V196" s="28">
        <f>VLOOKUP($L196,Tabla1[#All],5,FALSE)</f>
        <v>-82.758707999999999</v>
      </c>
      <c r="W196" s="43" t="s">
        <v>1717</v>
      </c>
    </row>
    <row r="197" spans="2:23" ht="15.6" customHeight="1">
      <c r="B197" s="8">
        <v>2864</v>
      </c>
      <c r="C197" s="16" t="str">
        <f t="shared" si="12"/>
        <v>2864-3615</v>
      </c>
      <c r="D197" s="8">
        <v>24013615</v>
      </c>
      <c r="E197" s="8" t="str">
        <f t="shared" si="13"/>
        <v>2864 - 3615</v>
      </c>
      <c r="F197" s="9" t="s">
        <v>238</v>
      </c>
      <c r="G197" s="10">
        <v>20</v>
      </c>
      <c r="H197" s="11">
        <v>1</v>
      </c>
      <c r="I197" s="13">
        <v>295</v>
      </c>
      <c r="J197" s="12" t="s">
        <v>239</v>
      </c>
      <c r="K197" s="11">
        <v>71072105384</v>
      </c>
      <c r="L197" s="11">
        <v>80112011915</v>
      </c>
      <c r="M197" s="12" t="s">
        <v>240</v>
      </c>
      <c r="N197" s="8" t="s">
        <v>241</v>
      </c>
      <c r="O197" s="11" t="str">
        <f t="shared" si="14"/>
        <v>53044515</v>
      </c>
      <c r="P197" s="11" t="str">
        <f t="shared" si="15"/>
        <v>53044515</v>
      </c>
      <c r="Q197" s="12" t="s">
        <v>1053</v>
      </c>
      <c r="R197" s="8">
        <v>2</v>
      </c>
      <c r="S197" s="8" t="s">
        <v>1044</v>
      </c>
      <c r="T197" s="8" t="s">
        <v>211</v>
      </c>
      <c r="U197" s="28">
        <f>VLOOKUP($L197,Tabla1[#All],4,FALSE)</f>
        <v>22.803284999999999</v>
      </c>
      <c r="V197" s="28">
        <f>VLOOKUP($L197,Tabla1[#All],5,FALSE)</f>
        <v>-80.084541999999999</v>
      </c>
      <c r="W197" s="43" t="s">
        <v>1718</v>
      </c>
    </row>
    <row r="198" spans="2:23" ht="15.6" customHeight="1">
      <c r="B198" s="8">
        <v>2864</v>
      </c>
      <c r="C198" s="16" t="str">
        <f t="shared" si="12"/>
        <v>2864-3647</v>
      </c>
      <c r="D198" s="8">
        <v>24013647</v>
      </c>
      <c r="E198" s="8" t="str">
        <f t="shared" si="13"/>
        <v>2864 - 3647</v>
      </c>
      <c r="F198" s="9" t="s">
        <v>33</v>
      </c>
      <c r="G198" s="10">
        <v>19.2</v>
      </c>
      <c r="H198" s="11">
        <v>1</v>
      </c>
      <c r="I198" s="13">
        <v>1502.1</v>
      </c>
      <c r="J198" s="12" t="s">
        <v>239</v>
      </c>
      <c r="K198" s="11">
        <v>71072105384</v>
      </c>
      <c r="L198" s="11">
        <v>80112011915</v>
      </c>
      <c r="M198" s="12" t="s">
        <v>240</v>
      </c>
      <c r="N198" s="8" t="s">
        <v>241</v>
      </c>
      <c r="O198" s="11" t="str">
        <f t="shared" si="14"/>
        <v>53044515</v>
      </c>
      <c r="P198" s="11" t="str">
        <f t="shared" si="15"/>
        <v>53044515</v>
      </c>
      <c r="Q198" s="12" t="s">
        <v>1053</v>
      </c>
      <c r="R198" s="8">
        <v>2</v>
      </c>
      <c r="S198" s="8" t="s">
        <v>1044</v>
      </c>
      <c r="T198" s="8" t="s">
        <v>211</v>
      </c>
      <c r="U198" s="28">
        <f>VLOOKUP($L198,Tabla1[#All],4,FALSE)</f>
        <v>22.803284999999999</v>
      </c>
      <c r="V198" s="28">
        <f>VLOOKUP($L198,Tabla1[#All],5,FALSE)</f>
        <v>-80.084541999999999</v>
      </c>
      <c r="W198" s="43" t="s">
        <v>1718</v>
      </c>
    </row>
    <row r="199" spans="2:23" ht="15.6" customHeight="1">
      <c r="B199" s="8">
        <v>2794</v>
      </c>
      <c r="C199" s="16" t="str">
        <f t="shared" si="12"/>
        <v>2794-3480</v>
      </c>
      <c r="D199" s="11">
        <v>24013480</v>
      </c>
      <c r="E199" s="8" t="str">
        <f t="shared" si="13"/>
        <v>2794 - 3480</v>
      </c>
      <c r="F199" s="12" t="s">
        <v>387</v>
      </c>
      <c r="G199" s="10">
        <v>15.8</v>
      </c>
      <c r="H199" s="8">
        <v>1</v>
      </c>
      <c r="I199" s="13">
        <v>295</v>
      </c>
      <c r="J199" s="12" t="s">
        <v>50</v>
      </c>
      <c r="K199" s="8">
        <v>7101505202</v>
      </c>
      <c r="L199" s="8">
        <v>81021724939</v>
      </c>
      <c r="M199" s="12" t="s">
        <v>388</v>
      </c>
      <c r="N199" s="8" t="s">
        <v>389</v>
      </c>
      <c r="O199" s="11" t="str">
        <f t="shared" si="14"/>
        <v>53784960</v>
      </c>
      <c r="P199" s="11" t="str">
        <f t="shared" si="15"/>
        <v>53784960</v>
      </c>
      <c r="Q199" s="12" t="s">
        <v>1015</v>
      </c>
      <c r="R199" s="8">
        <v>2</v>
      </c>
      <c r="S199" s="8" t="s">
        <v>997</v>
      </c>
      <c r="T199" s="8" t="s">
        <v>1012</v>
      </c>
      <c r="U199" s="28">
        <f>VLOOKUP($L199,Tabla1[#All],4,FALSE)</f>
        <v>20.159344000000001</v>
      </c>
      <c r="V199" s="28">
        <f>VLOOKUP($L199,Tabla1[#All],5,FALSE)</f>
        <v>-75.207044999999994</v>
      </c>
      <c r="W199" s="43" t="s">
        <v>1717</v>
      </c>
    </row>
    <row r="200" spans="2:23" ht="15.6" customHeight="1">
      <c r="B200" s="8">
        <v>2794</v>
      </c>
      <c r="C200" s="16" t="str">
        <f t="shared" si="12"/>
        <v>2794-3558</v>
      </c>
      <c r="D200" s="11">
        <v>24013558</v>
      </c>
      <c r="E200" s="8" t="str">
        <f t="shared" si="13"/>
        <v>2794 - 3558</v>
      </c>
      <c r="F200" s="12" t="s">
        <v>525</v>
      </c>
      <c r="G200" s="10">
        <v>22.6</v>
      </c>
      <c r="H200" s="8">
        <v>1</v>
      </c>
      <c r="I200" s="13">
        <v>1857</v>
      </c>
      <c r="J200" s="12" t="s">
        <v>50</v>
      </c>
      <c r="K200" s="8">
        <v>7101505202</v>
      </c>
      <c r="L200" s="8">
        <v>81021724939</v>
      </c>
      <c r="M200" s="12" t="s">
        <v>388</v>
      </c>
      <c r="N200" s="8" t="s">
        <v>389</v>
      </c>
      <c r="O200" s="11" t="str">
        <f t="shared" si="14"/>
        <v>53784960</v>
      </c>
      <c r="P200" s="11" t="str">
        <f t="shared" si="15"/>
        <v>53784960</v>
      </c>
      <c r="Q200" s="12" t="s">
        <v>1015</v>
      </c>
      <c r="R200" s="8">
        <v>2</v>
      </c>
      <c r="S200" s="8" t="s">
        <v>997</v>
      </c>
      <c r="T200" s="8" t="s">
        <v>1012</v>
      </c>
      <c r="U200" s="28">
        <f>VLOOKUP($L200,Tabla1[#All],4,FALSE)</f>
        <v>20.159344000000001</v>
      </c>
      <c r="V200" s="28">
        <f>VLOOKUP($L200,Tabla1[#All],5,FALSE)</f>
        <v>-75.207044999999994</v>
      </c>
      <c r="W200" s="43" t="s">
        <v>1717</v>
      </c>
    </row>
    <row r="201" spans="2:23" ht="15.6" customHeight="1">
      <c r="B201" s="8">
        <v>2783</v>
      </c>
      <c r="C201" s="16" t="str">
        <f t="shared" si="12"/>
        <v>2783-3340</v>
      </c>
      <c r="D201" s="8">
        <v>24013340</v>
      </c>
      <c r="E201" s="8" t="str">
        <f t="shared" si="13"/>
        <v>2783 - 3340</v>
      </c>
      <c r="F201" s="12" t="s">
        <v>657</v>
      </c>
      <c r="G201" s="10">
        <v>40</v>
      </c>
      <c r="H201" s="8">
        <v>1</v>
      </c>
      <c r="I201" s="13">
        <v>3709.2</v>
      </c>
      <c r="J201" s="12" t="s">
        <v>50</v>
      </c>
      <c r="K201" s="8">
        <v>7101505202</v>
      </c>
      <c r="L201" s="8">
        <v>81042115242</v>
      </c>
      <c r="M201" s="12" t="s">
        <v>658</v>
      </c>
      <c r="N201" s="8" t="s">
        <v>659</v>
      </c>
      <c r="O201" s="11" t="str">
        <f t="shared" si="14"/>
        <v>53932823</v>
      </c>
      <c r="P201" s="11" t="str">
        <f t="shared" si="15"/>
        <v>53932823</v>
      </c>
      <c r="Q201" s="12" t="s">
        <v>930</v>
      </c>
      <c r="R201" s="8">
        <v>2</v>
      </c>
      <c r="S201" s="8" t="s">
        <v>915</v>
      </c>
      <c r="T201" s="8" t="s">
        <v>931</v>
      </c>
      <c r="U201" s="28">
        <f>VLOOKUP($L201,Tabla1[#All],4,FALSE)</f>
        <v>20.375623999999998</v>
      </c>
      <c r="V201" s="28">
        <f>VLOOKUP($L201,Tabla1[#All],5,FALSE)</f>
        <v>-76.645796000000004</v>
      </c>
      <c r="W201" s="43" t="s">
        <v>1717</v>
      </c>
    </row>
    <row r="202" spans="2:23" ht="15.6" customHeight="1">
      <c r="B202" s="8">
        <v>2783</v>
      </c>
      <c r="C202" s="16" t="str">
        <f t="shared" si="12"/>
        <v>2783-3389</v>
      </c>
      <c r="D202" s="8">
        <v>24013389</v>
      </c>
      <c r="E202" s="8" t="str">
        <f t="shared" si="13"/>
        <v>2783 - 3389</v>
      </c>
      <c r="F202" s="12" t="s">
        <v>785</v>
      </c>
      <c r="G202" s="10">
        <v>18.7</v>
      </c>
      <c r="H202" s="8">
        <v>1</v>
      </c>
      <c r="I202" s="13">
        <v>1480.05</v>
      </c>
      <c r="J202" s="12" t="s">
        <v>50</v>
      </c>
      <c r="K202" s="8">
        <v>7101505202</v>
      </c>
      <c r="L202" s="8">
        <v>81042115242</v>
      </c>
      <c r="M202" s="12" t="s">
        <v>658</v>
      </c>
      <c r="N202" s="8" t="s">
        <v>659</v>
      </c>
      <c r="O202" s="11" t="str">
        <f t="shared" si="14"/>
        <v>53932823</v>
      </c>
      <c r="P202" s="11" t="str">
        <f t="shared" si="15"/>
        <v>53932823</v>
      </c>
      <c r="Q202" s="12" t="s">
        <v>930</v>
      </c>
      <c r="R202" s="8">
        <v>2</v>
      </c>
      <c r="S202" s="8" t="s">
        <v>915</v>
      </c>
      <c r="T202" s="8" t="s">
        <v>931</v>
      </c>
      <c r="U202" s="28">
        <f>VLOOKUP($L202,Tabla1[#All],4,FALSE)</f>
        <v>20.375623999999998</v>
      </c>
      <c r="V202" s="28">
        <f>VLOOKUP($L202,Tabla1[#All],5,FALSE)</f>
        <v>-76.645796000000004</v>
      </c>
      <c r="W202" s="43" t="s">
        <v>1717</v>
      </c>
    </row>
    <row r="203" spans="2:23" ht="15.6" customHeight="1">
      <c r="B203" s="8">
        <v>2783</v>
      </c>
      <c r="C203" s="16" t="str">
        <f t="shared" si="12"/>
        <v>2783-3412</v>
      </c>
      <c r="D203" s="8">
        <v>24013412</v>
      </c>
      <c r="E203" s="8" t="str">
        <f t="shared" si="13"/>
        <v>2783 - 3412</v>
      </c>
      <c r="F203" s="12" t="s">
        <v>794</v>
      </c>
      <c r="G203" s="45">
        <v>20.82</v>
      </c>
      <c r="H203" s="8">
        <v>1</v>
      </c>
      <c r="I203" s="62">
        <v>2386.1999999999998</v>
      </c>
      <c r="J203" s="12" t="s">
        <v>795</v>
      </c>
      <c r="K203" s="8">
        <v>65082578945</v>
      </c>
      <c r="L203" s="8">
        <v>81090709150</v>
      </c>
      <c r="M203" s="12" t="s">
        <v>798</v>
      </c>
      <c r="N203" s="8" t="s">
        <v>799</v>
      </c>
      <c r="O203" s="11" t="str">
        <f t="shared" si="14"/>
        <v>56668836</v>
      </c>
      <c r="P203" s="11" t="str">
        <f t="shared" si="15"/>
        <v>56668836</v>
      </c>
      <c r="Q203" s="12" t="s">
        <v>1101</v>
      </c>
      <c r="R203" s="8">
        <v>2</v>
      </c>
      <c r="S203" s="8" t="s">
        <v>1084</v>
      </c>
      <c r="T203" s="8" t="s">
        <v>185</v>
      </c>
      <c r="U203" s="28">
        <f>VLOOKUP($L203,Tabla1[#All],4,FALSE)</f>
        <v>23.034634</v>
      </c>
      <c r="V203" s="28">
        <f>VLOOKUP($L203,Tabla1[#All],5,FALSE)</f>
        <v>-81.567992000000004</v>
      </c>
      <c r="W203" s="43" t="s">
        <v>1715</v>
      </c>
    </row>
    <row r="204" spans="2:23" ht="15.6" customHeight="1">
      <c r="B204" s="8">
        <v>2783</v>
      </c>
      <c r="C204" s="16" t="str">
        <f t="shared" si="12"/>
        <v>2783-3311</v>
      </c>
      <c r="D204" s="8">
        <v>24013311</v>
      </c>
      <c r="E204" s="8" t="str">
        <f t="shared" si="13"/>
        <v>2783 - 3311</v>
      </c>
      <c r="F204" s="12" t="s">
        <v>601</v>
      </c>
      <c r="G204" s="10">
        <v>21.2</v>
      </c>
      <c r="H204" s="8">
        <v>1</v>
      </c>
      <c r="I204" s="13">
        <v>1199.7</v>
      </c>
      <c r="J204" s="12" t="s">
        <v>602</v>
      </c>
      <c r="K204" s="8">
        <v>65082578945</v>
      </c>
      <c r="L204" s="8">
        <v>81090810074</v>
      </c>
      <c r="M204" s="12" t="s">
        <v>603</v>
      </c>
      <c r="N204" s="8" t="s">
        <v>604</v>
      </c>
      <c r="O204" s="11" t="str">
        <f t="shared" si="14"/>
        <v>55529871</v>
      </c>
      <c r="P204" s="11" t="str">
        <f t="shared" si="15"/>
        <v>55529871</v>
      </c>
      <c r="Q204" s="12" t="s">
        <v>1683</v>
      </c>
      <c r="R204" s="8">
        <v>2</v>
      </c>
      <c r="S204" s="8" t="s">
        <v>863</v>
      </c>
      <c r="T204" s="8" t="s">
        <v>63</v>
      </c>
      <c r="U204" s="28">
        <f>VLOOKUP($L204,Tabla1[#All],4,FALSE)</f>
        <v>22.153859000000001</v>
      </c>
      <c r="V204" s="28">
        <f>VLOOKUP($L204,Tabla1[#All],5,FALSE)</f>
        <v>-80.428938000000002</v>
      </c>
      <c r="W204" s="43" t="s">
        <v>1718</v>
      </c>
    </row>
    <row r="205" spans="2:23" ht="15.6" customHeight="1">
      <c r="B205" s="8">
        <v>2783</v>
      </c>
      <c r="C205" s="16" t="str">
        <f t="shared" si="12"/>
        <v>2783-3323</v>
      </c>
      <c r="D205" s="8">
        <v>24013323</v>
      </c>
      <c r="E205" s="8" t="str">
        <f t="shared" si="13"/>
        <v>2783 - 3323</v>
      </c>
      <c r="F205" s="12" t="s">
        <v>446</v>
      </c>
      <c r="G205" s="33">
        <v>15.5</v>
      </c>
      <c r="H205" s="8">
        <v>1</v>
      </c>
      <c r="I205" s="13">
        <v>1199.7</v>
      </c>
      <c r="J205" s="12" t="s">
        <v>50</v>
      </c>
      <c r="K205" s="8">
        <v>7101505202</v>
      </c>
      <c r="L205" s="8">
        <v>82060321824</v>
      </c>
      <c r="M205" s="12" t="s">
        <v>631</v>
      </c>
      <c r="N205" s="8" t="s">
        <v>632</v>
      </c>
      <c r="O205" s="11" t="str">
        <f t="shared" si="14"/>
        <v>54751327</v>
      </c>
      <c r="P205" s="11" t="str">
        <f t="shared" si="15"/>
        <v>54751327</v>
      </c>
      <c r="Q205" s="12" t="s">
        <v>875</v>
      </c>
      <c r="R205" s="8">
        <v>2</v>
      </c>
      <c r="S205" s="8" t="s">
        <v>839</v>
      </c>
      <c r="T205" s="8" t="s">
        <v>104</v>
      </c>
      <c r="U205" s="28">
        <f>VLOOKUP($L205,Tabla1[#All],4,FALSE)</f>
        <v>23.001280000000001</v>
      </c>
      <c r="V205" s="28">
        <f>VLOOKUP($L205,Tabla1[#All],5,FALSE)</f>
        <v>-82.383795000000006</v>
      </c>
      <c r="W205" s="43" t="s">
        <v>1717</v>
      </c>
    </row>
    <row r="206" spans="2:23" ht="15.6" customHeight="1">
      <c r="B206" s="8">
        <v>2783</v>
      </c>
      <c r="C206" s="16" t="str">
        <f t="shared" si="12"/>
        <v>2783-3324</v>
      </c>
      <c r="D206" s="8">
        <v>24013324</v>
      </c>
      <c r="E206" s="8" t="str">
        <f t="shared" si="13"/>
        <v>2783 - 3324</v>
      </c>
      <c r="F206" s="12" t="s">
        <v>633</v>
      </c>
      <c r="G206" s="33">
        <v>12.7</v>
      </c>
      <c r="H206" s="8">
        <v>1</v>
      </c>
      <c r="I206" s="13">
        <v>972.9</v>
      </c>
      <c r="J206" s="12" t="s">
        <v>50</v>
      </c>
      <c r="K206" s="8">
        <v>7101505202</v>
      </c>
      <c r="L206" s="8">
        <v>82060321824</v>
      </c>
      <c r="M206" s="12" t="s">
        <v>631</v>
      </c>
      <c r="N206" s="8" t="s">
        <v>632</v>
      </c>
      <c r="O206" s="11" t="str">
        <f t="shared" si="14"/>
        <v>54751327</v>
      </c>
      <c r="P206" s="11" t="str">
        <f t="shared" si="15"/>
        <v>54751327</v>
      </c>
      <c r="Q206" s="12" t="s">
        <v>875</v>
      </c>
      <c r="R206" s="8">
        <v>2</v>
      </c>
      <c r="S206" s="8" t="s">
        <v>839</v>
      </c>
      <c r="T206" s="8" t="s">
        <v>104</v>
      </c>
      <c r="U206" s="28">
        <f>VLOOKUP($L206,Tabla1[#All],4,FALSE)</f>
        <v>23.001280000000001</v>
      </c>
      <c r="V206" s="28">
        <f>VLOOKUP($L206,Tabla1[#All],5,FALSE)</f>
        <v>-82.383795000000006</v>
      </c>
      <c r="W206" s="43" t="s">
        <v>1717</v>
      </c>
    </row>
    <row r="207" spans="2:23" ht="15.6" customHeight="1">
      <c r="B207" s="8">
        <v>2794</v>
      </c>
      <c r="C207" s="16" t="str">
        <f t="shared" si="12"/>
        <v>2794-3498</v>
      </c>
      <c r="D207" s="11">
        <v>24013498</v>
      </c>
      <c r="E207" s="8" t="str">
        <f t="shared" si="13"/>
        <v>2794 - 3498</v>
      </c>
      <c r="F207" s="12" t="s">
        <v>420</v>
      </c>
      <c r="G207" s="10">
        <v>23.7</v>
      </c>
      <c r="H207" s="8">
        <v>1</v>
      </c>
      <c r="I207" s="13">
        <v>1932.6</v>
      </c>
      <c r="J207" s="12" t="s">
        <v>50</v>
      </c>
      <c r="K207" s="8">
        <v>7101505202</v>
      </c>
      <c r="L207" s="8">
        <v>82062000416</v>
      </c>
      <c r="M207" s="12" t="s">
        <v>421</v>
      </c>
      <c r="N207" s="8" t="s">
        <v>422</v>
      </c>
      <c r="O207" s="11" t="str">
        <f t="shared" si="14"/>
        <v>55910060</v>
      </c>
      <c r="P207" s="11" t="str">
        <f t="shared" si="15"/>
        <v>55910060</v>
      </c>
      <c r="Q207" s="12" t="s">
        <v>978</v>
      </c>
      <c r="R207" s="8">
        <v>2</v>
      </c>
      <c r="S207" s="8" t="s">
        <v>967</v>
      </c>
      <c r="T207" s="8" t="s">
        <v>202</v>
      </c>
      <c r="U207" s="28">
        <f>VLOOKUP($L207,Tabla1[#All],4,FALSE)</f>
        <v>22.511353</v>
      </c>
      <c r="V207" s="28">
        <f>VLOOKUP($L207,Tabla1[#All],5,FALSE)</f>
        <v>-83.412702999999993</v>
      </c>
      <c r="W207" s="43" t="s">
        <v>1717</v>
      </c>
    </row>
    <row r="208" spans="2:23" ht="15.6" customHeight="1">
      <c r="B208" s="8">
        <v>2864</v>
      </c>
      <c r="C208" s="16" t="str">
        <f t="shared" si="12"/>
        <v>2864-3637</v>
      </c>
      <c r="D208" s="8">
        <v>24013637</v>
      </c>
      <c r="E208" s="8" t="str">
        <f t="shared" si="13"/>
        <v>2864 - 3637</v>
      </c>
      <c r="F208" s="9" t="s">
        <v>170</v>
      </c>
      <c r="G208" s="33">
        <v>5.0999999999999996</v>
      </c>
      <c r="H208" s="11">
        <v>1</v>
      </c>
      <c r="I208" s="13">
        <v>594.9</v>
      </c>
      <c r="J208" s="12" t="s">
        <v>171</v>
      </c>
      <c r="K208" s="11">
        <v>70031598704</v>
      </c>
      <c r="L208" s="11">
        <v>82090801650</v>
      </c>
      <c r="M208" s="12" t="s">
        <v>172</v>
      </c>
      <c r="N208" s="8" t="s">
        <v>173</v>
      </c>
      <c r="O208" s="11" t="str">
        <f t="shared" si="14"/>
        <v>53198561</v>
      </c>
      <c r="P208" s="11" t="str">
        <f t="shared" si="15"/>
        <v>53198561</v>
      </c>
      <c r="Q208" s="12" t="s">
        <v>891</v>
      </c>
      <c r="R208" s="8">
        <v>2</v>
      </c>
      <c r="S208" s="8" t="s">
        <v>841</v>
      </c>
      <c r="T208" s="8" t="s">
        <v>104</v>
      </c>
      <c r="U208" s="28">
        <f>VLOOKUP($L208,Tabla1[#All],4,FALSE)</f>
        <v>23.128575000000001</v>
      </c>
      <c r="V208" s="28">
        <f>VLOOKUP($L208,Tabla1[#All],5,FALSE)</f>
        <v>-82.408957999999998</v>
      </c>
      <c r="W208" s="43" t="s">
        <v>1717</v>
      </c>
    </row>
    <row r="209" spans="2:23" ht="15.6" customHeight="1">
      <c r="B209" s="8">
        <v>2794</v>
      </c>
      <c r="C209" s="16" t="str">
        <f t="shared" si="12"/>
        <v>2794-3465</v>
      </c>
      <c r="D209" s="11">
        <v>24013465</v>
      </c>
      <c r="E209" s="8" t="str">
        <f t="shared" si="13"/>
        <v>2794 - 3465</v>
      </c>
      <c r="F209" s="12" t="s">
        <v>581</v>
      </c>
      <c r="G209" s="10">
        <v>14.7</v>
      </c>
      <c r="H209" s="8">
        <v>1</v>
      </c>
      <c r="I209" s="13">
        <v>1124.0999999999999</v>
      </c>
      <c r="J209" s="12" t="s">
        <v>50</v>
      </c>
      <c r="K209" s="8">
        <v>7101505202</v>
      </c>
      <c r="L209" s="8">
        <v>82111918023</v>
      </c>
      <c r="M209" s="12" t="s">
        <v>359</v>
      </c>
      <c r="N209" s="8" t="s">
        <v>360</v>
      </c>
      <c r="O209" s="11" t="str">
        <f t="shared" si="14"/>
        <v>58108456</v>
      </c>
      <c r="P209" s="11" t="str">
        <f t="shared" si="15"/>
        <v>58108456</v>
      </c>
      <c r="Q209" s="12" t="s">
        <v>1064</v>
      </c>
      <c r="R209" s="8">
        <v>2</v>
      </c>
      <c r="S209" s="8" t="s">
        <v>1046</v>
      </c>
      <c r="T209" s="8" t="s">
        <v>1052</v>
      </c>
      <c r="U209" s="28">
        <f>VLOOKUP($L209,Tabla1[#All],4,FALSE)</f>
        <v>22.327414000000001</v>
      </c>
      <c r="V209" s="28">
        <f>VLOOKUP($L209,Tabla1[#All],5,FALSE)</f>
        <v>-79.241140000000001</v>
      </c>
      <c r="W209" s="43" t="s">
        <v>1718</v>
      </c>
    </row>
    <row r="210" spans="2:23" ht="15.6" customHeight="1">
      <c r="B210" s="8">
        <v>2864</v>
      </c>
      <c r="C210" s="16" t="str">
        <f t="shared" si="12"/>
        <v>2864-3613</v>
      </c>
      <c r="D210" s="8">
        <v>24013613</v>
      </c>
      <c r="E210" s="8" t="str">
        <f t="shared" si="13"/>
        <v>2864 - 3613</v>
      </c>
      <c r="F210" s="9" t="s">
        <v>156</v>
      </c>
      <c r="G210" s="55">
        <v>16.36</v>
      </c>
      <c r="H210" s="11">
        <v>1</v>
      </c>
      <c r="I210" s="13">
        <v>1275.3</v>
      </c>
      <c r="J210" s="12" t="s">
        <v>149</v>
      </c>
      <c r="K210" s="11">
        <v>71072105384</v>
      </c>
      <c r="L210" s="11">
        <v>82120408750</v>
      </c>
      <c r="M210" s="12" t="s">
        <v>157</v>
      </c>
      <c r="N210" s="8" t="s">
        <v>158</v>
      </c>
      <c r="O210" s="11" t="str">
        <f t="shared" si="14"/>
        <v>53580001</v>
      </c>
      <c r="P210" s="11" t="str">
        <f t="shared" si="15"/>
        <v>53580001</v>
      </c>
      <c r="Q210" s="12" t="s">
        <v>911</v>
      </c>
      <c r="R210" s="8">
        <v>2</v>
      </c>
      <c r="S210" s="8" t="s">
        <v>843</v>
      </c>
      <c r="T210" s="8" t="s">
        <v>104</v>
      </c>
      <c r="U210" s="28">
        <f>VLOOKUP($L210,Tabla1[#All],4,FALSE)</f>
        <v>23.070526999999998</v>
      </c>
      <c r="V210" s="28">
        <f>VLOOKUP($L210,Tabla1[#All],5,FALSE)</f>
        <v>-82.437963999999994</v>
      </c>
      <c r="W210" s="43" t="s">
        <v>1717</v>
      </c>
    </row>
    <row r="211" spans="2:23" ht="15.6" customHeight="1">
      <c r="B211" s="8">
        <v>2794</v>
      </c>
      <c r="C211" s="16" t="str">
        <f t="shared" si="12"/>
        <v>2794-3436</v>
      </c>
      <c r="D211" s="11">
        <v>24013436</v>
      </c>
      <c r="E211" s="8" t="str">
        <f t="shared" si="13"/>
        <v>2794 - 3436</v>
      </c>
      <c r="F211" s="12" t="s">
        <v>298</v>
      </c>
      <c r="G211" s="33">
        <v>24.1</v>
      </c>
      <c r="H211" s="8">
        <v>1</v>
      </c>
      <c r="I211" s="13">
        <v>1932.6</v>
      </c>
      <c r="J211" s="12" t="s">
        <v>50</v>
      </c>
      <c r="K211" s="8">
        <v>7101505202</v>
      </c>
      <c r="L211" s="8">
        <v>83022306588</v>
      </c>
      <c r="M211" s="12" t="s">
        <v>299</v>
      </c>
      <c r="N211" s="8" t="s">
        <v>300</v>
      </c>
      <c r="O211" s="11" t="str">
        <f t="shared" si="14"/>
        <v>54705132</v>
      </c>
      <c r="P211" s="11" t="str">
        <f t="shared" si="15"/>
        <v>54705132</v>
      </c>
      <c r="Q211" s="12" t="s">
        <v>885</v>
      </c>
      <c r="R211" s="8">
        <v>2</v>
      </c>
      <c r="S211" s="8" t="s">
        <v>838</v>
      </c>
      <c r="T211" s="8" t="s">
        <v>104</v>
      </c>
      <c r="U211" s="28">
        <f>VLOOKUP($L211,Tabla1[#All],4,FALSE)</f>
        <v>23.105204000000001</v>
      </c>
      <c r="V211" s="28">
        <f>VLOOKUP($L211,Tabla1[#All],5,FALSE)</f>
        <v>-82.371781999999996</v>
      </c>
      <c r="W211" s="43" t="s">
        <v>1717</v>
      </c>
    </row>
    <row r="212" spans="2:23" ht="15.6" customHeight="1">
      <c r="B212" s="8">
        <v>2783</v>
      </c>
      <c r="C212" s="16" t="str">
        <f t="shared" si="12"/>
        <v>2783-3315</v>
      </c>
      <c r="D212" s="8">
        <v>24013315</v>
      </c>
      <c r="E212" s="8" t="str">
        <f t="shared" si="13"/>
        <v>2783 - 3315</v>
      </c>
      <c r="F212" s="12" t="s">
        <v>612</v>
      </c>
      <c r="G212" s="45">
        <v>19.3</v>
      </c>
      <c r="H212" s="8">
        <v>1</v>
      </c>
      <c r="I212" s="13">
        <v>1350.9</v>
      </c>
      <c r="J212" s="12" t="s">
        <v>613</v>
      </c>
      <c r="K212" s="8">
        <v>65082578945</v>
      </c>
      <c r="L212" s="8">
        <v>84011326760</v>
      </c>
      <c r="M212" s="12" t="s">
        <v>614</v>
      </c>
      <c r="N212" s="8" t="s">
        <v>615</v>
      </c>
      <c r="O212" s="11" t="str">
        <f t="shared" si="14"/>
        <v>50150790</v>
      </c>
      <c r="P212" s="11" t="str">
        <f t="shared" si="15"/>
        <v>50150790</v>
      </c>
      <c r="Q212" s="12" t="s">
        <v>884</v>
      </c>
      <c r="R212" s="8">
        <v>2</v>
      </c>
      <c r="S212" s="8" t="s">
        <v>838</v>
      </c>
      <c r="T212" s="8" t="s">
        <v>104</v>
      </c>
      <c r="U212" s="28">
        <f>VLOOKUP($L212,Tabla1[#All],4,FALSE)</f>
        <v>23.097743000000001</v>
      </c>
      <c r="V212" s="28">
        <f>VLOOKUP($L212,Tabla1[#All],5,FALSE)</f>
        <v>-82.371129999999994</v>
      </c>
      <c r="W212" s="43" t="s">
        <v>1716</v>
      </c>
    </row>
    <row r="213" spans="2:23" ht="15.6" customHeight="1">
      <c r="B213" s="8">
        <v>2783</v>
      </c>
      <c r="C213" s="16" t="str">
        <f t="shared" si="12"/>
        <v>2783-3316</v>
      </c>
      <c r="D213" s="8">
        <v>24013316</v>
      </c>
      <c r="E213" s="8" t="str">
        <f t="shared" si="13"/>
        <v>2783 - 3316</v>
      </c>
      <c r="F213" s="12" t="s">
        <v>616</v>
      </c>
      <c r="G213" s="33">
        <v>18.8</v>
      </c>
      <c r="H213" s="8">
        <v>1</v>
      </c>
      <c r="I213" s="13">
        <v>1426.5</v>
      </c>
      <c r="J213" s="12" t="s">
        <v>613</v>
      </c>
      <c r="K213" s="8">
        <v>65082578945</v>
      </c>
      <c r="L213" s="8">
        <v>84011326760</v>
      </c>
      <c r="M213" s="12" t="s">
        <v>614</v>
      </c>
      <c r="N213" s="8" t="s">
        <v>615</v>
      </c>
      <c r="O213" s="11" t="str">
        <f t="shared" si="14"/>
        <v>50150790</v>
      </c>
      <c r="P213" s="11" t="str">
        <f t="shared" si="15"/>
        <v>50150790</v>
      </c>
      <c r="Q213" s="12" t="s">
        <v>884</v>
      </c>
      <c r="R213" s="8">
        <v>2</v>
      </c>
      <c r="S213" s="8" t="s">
        <v>838</v>
      </c>
      <c r="T213" s="8" t="s">
        <v>104</v>
      </c>
      <c r="U213" s="28">
        <f>VLOOKUP($L213,Tabla1[#All],4,FALSE)</f>
        <v>23.097743000000001</v>
      </c>
      <c r="V213" s="28">
        <f>VLOOKUP($L213,Tabla1[#All],5,FALSE)</f>
        <v>-82.371129999999994</v>
      </c>
      <c r="W213" s="43" t="s">
        <v>1717</v>
      </c>
    </row>
    <row r="214" spans="2:23" ht="15.6" customHeight="1">
      <c r="B214" s="8">
        <v>2783</v>
      </c>
      <c r="C214" s="16" t="str">
        <f t="shared" si="12"/>
        <v>2783-3361</v>
      </c>
      <c r="D214" s="8">
        <v>24013361</v>
      </c>
      <c r="E214" s="8" t="str">
        <f t="shared" si="13"/>
        <v>2783 - 3361</v>
      </c>
      <c r="F214" s="12" t="s">
        <v>711</v>
      </c>
      <c r="G214" s="10">
        <v>12.9</v>
      </c>
      <c r="H214" s="8">
        <v>1</v>
      </c>
      <c r="I214" s="13">
        <v>1048.5</v>
      </c>
      <c r="J214" s="12" t="s">
        <v>50</v>
      </c>
      <c r="K214" s="8">
        <v>7101505202</v>
      </c>
      <c r="L214" s="8">
        <v>85030427948</v>
      </c>
      <c r="M214" s="12" t="s">
        <v>712</v>
      </c>
      <c r="N214" s="8" t="s">
        <v>713</v>
      </c>
      <c r="O214" s="11" t="str">
        <f t="shared" si="14"/>
        <v>58545763</v>
      </c>
      <c r="P214" s="11" t="str">
        <f t="shared" si="15"/>
        <v>58545763</v>
      </c>
      <c r="Q214" s="12" t="s">
        <v>1009</v>
      </c>
      <c r="R214" s="8">
        <v>2</v>
      </c>
      <c r="S214" s="8" t="s">
        <v>998</v>
      </c>
      <c r="T214" s="8" t="s">
        <v>1012</v>
      </c>
      <c r="U214" s="28">
        <f>VLOOKUP($L214,Tabla1[#All],4,FALSE)</f>
        <v>19.989087000000001</v>
      </c>
      <c r="V214" s="28">
        <f>VLOOKUP($L214,Tabla1[#All],5,FALSE)</f>
        <v>-75.153880999999998</v>
      </c>
      <c r="W214" s="43" t="s">
        <v>1717</v>
      </c>
    </row>
    <row r="215" spans="2:23" ht="15.6" customHeight="1">
      <c r="B215" s="8">
        <v>2783</v>
      </c>
      <c r="C215" s="16" t="str">
        <f t="shared" si="12"/>
        <v>2783-3382</v>
      </c>
      <c r="D215" s="8">
        <v>24013382</v>
      </c>
      <c r="E215" s="8" t="str">
        <f t="shared" si="13"/>
        <v>2783 - 3382</v>
      </c>
      <c r="F215" s="12" t="s">
        <v>766</v>
      </c>
      <c r="G215" s="10">
        <v>8.4</v>
      </c>
      <c r="H215" s="8">
        <v>1</v>
      </c>
      <c r="I215" s="13">
        <v>670.5</v>
      </c>
      <c r="J215" s="12" t="s">
        <v>50</v>
      </c>
      <c r="K215" s="8">
        <v>7101505202</v>
      </c>
      <c r="L215" s="8">
        <v>85052011690</v>
      </c>
      <c r="M215" s="12" t="s">
        <v>767</v>
      </c>
      <c r="N215" s="8" t="s">
        <v>768</v>
      </c>
      <c r="O215" s="11" t="str">
        <f t="shared" si="14"/>
        <v>53378198</v>
      </c>
      <c r="P215" s="11" t="str">
        <f t="shared" si="15"/>
        <v>53378198</v>
      </c>
      <c r="Q215" s="12" t="s">
        <v>1060</v>
      </c>
      <c r="R215" s="8">
        <v>2</v>
      </c>
      <c r="S215" s="8" t="s">
        <v>1043</v>
      </c>
      <c r="T215" s="8" t="s">
        <v>211</v>
      </c>
      <c r="U215" s="28">
        <f>VLOOKUP($L215,Tabla1[#All],4,FALSE)</f>
        <v>22.459534000000001</v>
      </c>
      <c r="V215" s="28">
        <f>VLOOKUP($L215,Tabla1[#All],5,FALSE)</f>
        <v>-79.718828999999999</v>
      </c>
      <c r="W215" s="43" t="s">
        <v>1718</v>
      </c>
    </row>
    <row r="216" spans="2:23" ht="15.6" customHeight="1">
      <c r="B216" s="8">
        <v>2783</v>
      </c>
      <c r="C216" s="16" t="str">
        <f t="shared" si="12"/>
        <v>2783-3383</v>
      </c>
      <c r="D216" s="8">
        <v>24013383</v>
      </c>
      <c r="E216" s="8" t="str">
        <f t="shared" si="13"/>
        <v>2783 - 3383</v>
      </c>
      <c r="F216" s="12" t="s">
        <v>769</v>
      </c>
      <c r="G216" s="10">
        <v>10.4</v>
      </c>
      <c r="H216" s="8">
        <v>1</v>
      </c>
      <c r="I216" s="13">
        <v>821.7</v>
      </c>
      <c r="J216" s="12" t="s">
        <v>50</v>
      </c>
      <c r="K216" s="8">
        <v>7101505202</v>
      </c>
      <c r="L216" s="8">
        <v>85052011690</v>
      </c>
      <c r="M216" s="12" t="s">
        <v>767</v>
      </c>
      <c r="N216" s="8" t="s">
        <v>768</v>
      </c>
      <c r="O216" s="11" t="str">
        <f t="shared" si="14"/>
        <v>53378198</v>
      </c>
      <c r="P216" s="11" t="str">
        <f t="shared" si="15"/>
        <v>53378198</v>
      </c>
      <c r="Q216" s="12" t="s">
        <v>1060</v>
      </c>
      <c r="R216" s="8">
        <v>2</v>
      </c>
      <c r="S216" s="8" t="s">
        <v>1043</v>
      </c>
      <c r="T216" s="8" t="s">
        <v>211</v>
      </c>
      <c r="U216" s="28">
        <f>VLOOKUP($L216,Tabla1[#All],4,FALSE)</f>
        <v>22.459534000000001</v>
      </c>
      <c r="V216" s="28">
        <f>VLOOKUP($L216,Tabla1[#All],5,FALSE)</f>
        <v>-79.718828999999999</v>
      </c>
      <c r="W216" s="43" t="s">
        <v>1718</v>
      </c>
    </row>
    <row r="217" spans="2:23" ht="15.6" customHeight="1">
      <c r="B217" s="8">
        <v>2783</v>
      </c>
      <c r="C217" s="16" t="str">
        <f t="shared" si="12"/>
        <v>2783-3319</v>
      </c>
      <c r="D217" s="8">
        <v>24013319</v>
      </c>
      <c r="E217" s="8" t="str">
        <f t="shared" si="13"/>
        <v>2783 - 3319</v>
      </c>
      <c r="F217" s="12" t="s">
        <v>621</v>
      </c>
      <c r="G217" s="10">
        <v>2.6</v>
      </c>
      <c r="H217" s="8">
        <v>1</v>
      </c>
      <c r="I217" s="13">
        <v>295</v>
      </c>
      <c r="J217" s="12" t="s">
        <v>50</v>
      </c>
      <c r="K217" s="8">
        <v>7101505202</v>
      </c>
      <c r="L217" s="8">
        <v>85062820287</v>
      </c>
      <c r="M217" s="12" t="s">
        <v>624</v>
      </c>
      <c r="N217" s="8" t="s">
        <v>625</v>
      </c>
      <c r="O217" s="11" t="str">
        <f t="shared" si="14"/>
        <v>51405337</v>
      </c>
      <c r="P217" s="11" t="str">
        <f t="shared" si="15"/>
        <v>51405337</v>
      </c>
      <c r="Q217" s="12" t="s">
        <v>928</v>
      </c>
      <c r="R217" s="8">
        <v>2</v>
      </c>
      <c r="S217" s="8" t="s">
        <v>913</v>
      </c>
      <c r="T217" s="8" t="s">
        <v>932</v>
      </c>
      <c r="U217" s="28">
        <f>VLOOKUP($L217,Tabla1[#All],4,FALSE)</f>
        <v>20.896027</v>
      </c>
      <c r="V217" s="28">
        <f>VLOOKUP($L217,Tabla1[#All],5,FALSE)</f>
        <v>-77.280438000000004</v>
      </c>
      <c r="W217" s="43" t="s">
        <v>1717</v>
      </c>
    </row>
    <row r="218" spans="2:23" ht="15.6" customHeight="1">
      <c r="B218" s="8">
        <v>2864</v>
      </c>
      <c r="C218" s="16" t="str">
        <f t="shared" si="12"/>
        <v>2864-3580</v>
      </c>
      <c r="D218" s="8">
        <v>24013580</v>
      </c>
      <c r="E218" s="8" t="str">
        <f t="shared" si="13"/>
        <v>2864 - 3580</v>
      </c>
      <c r="F218" s="9" t="s">
        <v>272</v>
      </c>
      <c r="G218" s="10">
        <v>18.3</v>
      </c>
      <c r="H218" s="11">
        <v>1</v>
      </c>
      <c r="I218" s="13">
        <v>1781.4</v>
      </c>
      <c r="J218" s="12" t="s">
        <v>50</v>
      </c>
      <c r="K218" s="11">
        <v>7101505202</v>
      </c>
      <c r="L218" s="11">
        <v>85112414891</v>
      </c>
      <c r="M218" s="12" t="s">
        <v>208</v>
      </c>
      <c r="N218" s="8" t="s">
        <v>209</v>
      </c>
      <c r="O218" s="11" t="str">
        <f t="shared" si="14"/>
        <v>53836073</v>
      </c>
      <c r="P218" s="11" t="str">
        <f t="shared" si="15"/>
        <v>53836073</v>
      </c>
      <c r="Q218" s="12" t="s">
        <v>1057</v>
      </c>
      <c r="R218" s="8">
        <v>2</v>
      </c>
      <c r="S218" s="8" t="s">
        <v>1047</v>
      </c>
      <c r="T218" s="8" t="s">
        <v>1052</v>
      </c>
      <c r="U218" s="28">
        <f>VLOOKUP($L218,Tabla1[#All],4,FALSE)</f>
        <v>22.073920000000001</v>
      </c>
      <c r="V218" s="28">
        <f>VLOOKUP($L218,Tabla1[#All],5,FALSE)</f>
        <v>-79.501318999999995</v>
      </c>
      <c r="W218" s="43" t="s">
        <v>1718</v>
      </c>
    </row>
    <row r="219" spans="2:23" ht="15.6" customHeight="1">
      <c r="B219" s="8">
        <v>2864</v>
      </c>
      <c r="C219" s="16" t="str">
        <f t="shared" si="12"/>
        <v>2864-3581</v>
      </c>
      <c r="D219" s="8">
        <v>24013581</v>
      </c>
      <c r="E219" s="8" t="str">
        <f t="shared" si="13"/>
        <v>2864 - 3581</v>
      </c>
      <c r="F219" s="9" t="s">
        <v>212</v>
      </c>
      <c r="G219" s="10">
        <v>5.3</v>
      </c>
      <c r="H219" s="11">
        <v>1</v>
      </c>
      <c r="I219" s="13">
        <v>443.7</v>
      </c>
      <c r="J219" s="12" t="s">
        <v>50</v>
      </c>
      <c r="K219" s="11">
        <v>7101505202</v>
      </c>
      <c r="L219" s="11">
        <v>85112414891</v>
      </c>
      <c r="M219" s="12" t="s">
        <v>208</v>
      </c>
      <c r="N219" s="8" t="s">
        <v>209</v>
      </c>
      <c r="O219" s="11" t="str">
        <f t="shared" si="14"/>
        <v>53836073</v>
      </c>
      <c r="P219" s="11" t="str">
        <f t="shared" si="15"/>
        <v>53836073</v>
      </c>
      <c r="Q219" s="12" t="s">
        <v>1057</v>
      </c>
      <c r="R219" s="8">
        <v>2</v>
      </c>
      <c r="S219" s="8" t="s">
        <v>1047</v>
      </c>
      <c r="T219" s="8" t="s">
        <v>1052</v>
      </c>
      <c r="U219" s="28">
        <f>VLOOKUP($L219,Tabla1[#All],4,FALSE)</f>
        <v>22.073920000000001</v>
      </c>
      <c r="V219" s="28">
        <f>VLOOKUP($L219,Tabla1[#All],5,FALSE)</f>
        <v>-79.501318999999995</v>
      </c>
      <c r="W219" s="43" t="s">
        <v>1718</v>
      </c>
    </row>
    <row r="220" spans="2:23" ht="15.6" customHeight="1">
      <c r="B220" s="8">
        <v>2794</v>
      </c>
      <c r="C220" s="16" t="str">
        <f t="shared" si="12"/>
        <v>2794-3565</v>
      </c>
      <c r="D220" s="11">
        <v>24013565</v>
      </c>
      <c r="E220" s="8" t="str">
        <f t="shared" si="13"/>
        <v>2794 - 3565</v>
      </c>
      <c r="F220" s="12" t="s">
        <v>566</v>
      </c>
      <c r="G220" s="10">
        <v>25.9</v>
      </c>
      <c r="H220" s="8">
        <v>1</v>
      </c>
      <c r="I220" s="13">
        <v>2083.8000000000002</v>
      </c>
      <c r="J220" s="12" t="s">
        <v>50</v>
      </c>
      <c r="K220" s="8">
        <v>7101505202</v>
      </c>
      <c r="L220" s="8">
        <v>86100310022</v>
      </c>
      <c r="M220" s="12" t="s">
        <v>195</v>
      </c>
      <c r="N220" s="8" t="s">
        <v>196</v>
      </c>
      <c r="O220" s="11" t="str">
        <f t="shared" si="14"/>
        <v>63915101</v>
      </c>
      <c r="P220" s="11" t="str">
        <f t="shared" si="15"/>
        <v>63915101</v>
      </c>
      <c r="Q220" s="12" t="s">
        <v>1688</v>
      </c>
      <c r="R220" s="8">
        <v>2</v>
      </c>
      <c r="S220" s="8" t="s">
        <v>1086</v>
      </c>
      <c r="T220" s="8" t="s">
        <v>185</v>
      </c>
      <c r="U220" s="28">
        <f>VLOOKUP($L220,Tabla1[#All],4,FALSE)</f>
        <v>22.903486000000001</v>
      </c>
      <c r="V220" s="28">
        <f>VLOOKUP($L220,Tabla1[#All],5,FALSE)</f>
        <v>-81.036161000000007</v>
      </c>
      <c r="W220" s="43" t="s">
        <v>1718</v>
      </c>
    </row>
    <row r="221" spans="2:23" ht="15" customHeight="1">
      <c r="B221" s="8">
        <v>2864</v>
      </c>
      <c r="C221" s="16" t="str">
        <f t="shared" si="12"/>
        <v>2864-3578</v>
      </c>
      <c r="D221" s="8">
        <v>24013578</v>
      </c>
      <c r="E221" s="8" t="str">
        <f t="shared" si="13"/>
        <v>2864 - 3578</v>
      </c>
      <c r="F221" s="9" t="s">
        <v>270</v>
      </c>
      <c r="G221" s="10">
        <v>23.3</v>
      </c>
      <c r="H221" s="11">
        <v>1</v>
      </c>
      <c r="I221" s="13">
        <v>1857</v>
      </c>
      <c r="J221" s="12" t="s">
        <v>50</v>
      </c>
      <c r="K221" s="11">
        <v>7101505202</v>
      </c>
      <c r="L221" s="11">
        <v>86100310022</v>
      </c>
      <c r="M221" s="12" t="s">
        <v>195</v>
      </c>
      <c r="N221" s="8" t="s">
        <v>196</v>
      </c>
      <c r="O221" s="11" t="str">
        <f t="shared" si="14"/>
        <v>63915101</v>
      </c>
      <c r="P221" s="11" t="str">
        <f t="shared" si="15"/>
        <v>63915101</v>
      </c>
      <c r="Q221" s="12" t="s">
        <v>1688</v>
      </c>
      <c r="R221" s="8">
        <v>2</v>
      </c>
      <c r="S221" s="8" t="s">
        <v>1086</v>
      </c>
      <c r="T221" s="8" t="s">
        <v>185</v>
      </c>
      <c r="U221" s="28">
        <f>VLOOKUP($L221,Tabla1[#All],4,FALSE)</f>
        <v>22.903486000000001</v>
      </c>
      <c r="V221" s="28">
        <f>VLOOKUP($L221,Tabla1[#All],5,FALSE)</f>
        <v>-81.036161000000007</v>
      </c>
      <c r="W221" s="43" t="s">
        <v>1718</v>
      </c>
    </row>
    <row r="222" spans="2:23" ht="15.6" customHeight="1">
      <c r="B222" s="8">
        <v>2864</v>
      </c>
      <c r="C222" s="16" t="str">
        <f t="shared" si="12"/>
        <v>2864-3607</v>
      </c>
      <c r="D222" s="8">
        <v>24013607</v>
      </c>
      <c r="E222" s="8" t="str">
        <f t="shared" si="13"/>
        <v>2864 - 3607</v>
      </c>
      <c r="F222" s="9" t="s">
        <v>81</v>
      </c>
      <c r="G222" s="10">
        <v>15.6</v>
      </c>
      <c r="H222" s="11">
        <v>1</v>
      </c>
      <c r="I222" s="13">
        <v>1199.7</v>
      </c>
      <c r="J222" s="12" t="s">
        <v>82</v>
      </c>
      <c r="K222" s="11">
        <v>71072105384</v>
      </c>
      <c r="L222" s="11">
        <v>86100428388</v>
      </c>
      <c r="M222" s="12" t="s">
        <v>83</v>
      </c>
      <c r="N222" s="8" t="s">
        <v>84</v>
      </c>
      <c r="O222" s="11" t="str">
        <f t="shared" si="14"/>
        <v>58549013</v>
      </c>
      <c r="P222" s="11" t="str">
        <f t="shared" si="15"/>
        <v>58549013</v>
      </c>
      <c r="Q222" s="12" t="s">
        <v>1018</v>
      </c>
      <c r="R222" s="8">
        <v>2</v>
      </c>
      <c r="S222" s="8" t="s">
        <v>1002</v>
      </c>
      <c r="T222" s="8" t="s">
        <v>1012</v>
      </c>
      <c r="U222" s="28">
        <f>VLOOKUP($L222,Tabla1[#All],4,FALSE)</f>
        <v>20.349919</v>
      </c>
      <c r="V222" s="28">
        <f>VLOOKUP($L222,Tabla1[#All],5,FALSE)</f>
        <v>-74.509829999999994</v>
      </c>
      <c r="W222" s="43" t="s">
        <v>1717</v>
      </c>
    </row>
    <row r="223" spans="2:23" ht="15.6" customHeight="1">
      <c r="B223" s="8">
        <v>2783</v>
      </c>
      <c r="C223" s="16" t="str">
        <f t="shared" si="12"/>
        <v>2783-3356</v>
      </c>
      <c r="D223" s="8">
        <v>24013356</v>
      </c>
      <c r="E223" s="8" t="str">
        <f t="shared" si="13"/>
        <v>2783 - 3356</v>
      </c>
      <c r="F223" s="12" t="s">
        <v>697</v>
      </c>
      <c r="G223" s="10">
        <v>19.3</v>
      </c>
      <c r="H223" s="8">
        <v>1</v>
      </c>
      <c r="I223" s="13">
        <v>1789.8</v>
      </c>
      <c r="J223" s="12" t="s">
        <v>50</v>
      </c>
      <c r="K223" s="8">
        <v>7101505202</v>
      </c>
      <c r="L223" s="8">
        <v>87072202332</v>
      </c>
      <c r="M223" s="12" t="s">
        <v>698</v>
      </c>
      <c r="N223" s="8" t="s">
        <v>699</v>
      </c>
      <c r="O223" s="11" t="str">
        <f t="shared" si="14"/>
        <v>58343500</v>
      </c>
      <c r="P223" s="11" t="str">
        <f t="shared" si="15"/>
        <v>58343500</v>
      </c>
      <c r="Q223" s="12" t="s">
        <v>972</v>
      </c>
      <c r="R223" s="8">
        <v>2</v>
      </c>
      <c r="S223" s="8" t="s">
        <v>966</v>
      </c>
      <c r="T223" s="8" t="s">
        <v>202</v>
      </c>
      <c r="U223" s="28">
        <f>VLOOKUP($L223,Tabla1[#All],4,FALSE)</f>
        <v>22.420843000000001</v>
      </c>
      <c r="V223" s="28">
        <f>VLOOKUP($L223,Tabla1[#All],5,FALSE)</f>
        <v>-83.692321000000007</v>
      </c>
      <c r="W223" s="43" t="s">
        <v>1717</v>
      </c>
    </row>
    <row r="224" spans="2:23" ht="15.6" customHeight="1">
      <c r="B224" s="8">
        <v>2864</v>
      </c>
      <c r="C224" s="16" t="str">
        <f t="shared" si="12"/>
        <v>2864-3645</v>
      </c>
      <c r="D224" s="8">
        <v>24013645</v>
      </c>
      <c r="E224" s="8" t="str">
        <f t="shared" si="13"/>
        <v>2864 - 3645</v>
      </c>
      <c r="F224" s="9" t="s">
        <v>33</v>
      </c>
      <c r="G224" s="10">
        <v>24.8</v>
      </c>
      <c r="H224" s="11">
        <v>1</v>
      </c>
      <c r="I224" s="13">
        <v>2008.2</v>
      </c>
      <c r="J224" s="12" t="s">
        <v>86</v>
      </c>
      <c r="K224" s="11">
        <v>7101505202</v>
      </c>
      <c r="L224" s="11">
        <v>87112434653</v>
      </c>
      <c r="M224" s="12" t="s">
        <v>87</v>
      </c>
      <c r="N224" s="8" t="s">
        <v>88</v>
      </c>
      <c r="O224" s="11" t="str">
        <f t="shared" si="14"/>
        <v>58350119</v>
      </c>
      <c r="P224" s="11" t="str">
        <f t="shared" si="15"/>
        <v>58350119</v>
      </c>
      <c r="Q224" s="12" t="s">
        <v>1020</v>
      </c>
      <c r="R224" s="8">
        <v>2</v>
      </c>
      <c r="S224" s="8" t="s">
        <v>997</v>
      </c>
      <c r="T224" s="8" t="s">
        <v>1012</v>
      </c>
      <c r="U224" s="28">
        <f>VLOOKUP($L224,Tabla1[#All],4,FALSE)</f>
        <v>20.163029999999999</v>
      </c>
      <c r="V224" s="28">
        <f>VLOOKUP($L224,Tabla1[#All],5,FALSE)</f>
        <v>-75.218351999999996</v>
      </c>
      <c r="W224" s="43" t="s">
        <v>1717</v>
      </c>
    </row>
    <row r="225" spans="2:23" ht="15.6" customHeight="1">
      <c r="B225" s="8">
        <v>2864</v>
      </c>
      <c r="C225" s="16" t="str">
        <f t="shared" si="12"/>
        <v>2864-3646</v>
      </c>
      <c r="D225" s="8">
        <v>24013646</v>
      </c>
      <c r="E225" s="8" t="str">
        <f t="shared" si="13"/>
        <v>2864 - 3646</v>
      </c>
      <c r="F225" s="9" t="s">
        <v>33</v>
      </c>
      <c r="G225" s="10">
        <v>13.1</v>
      </c>
      <c r="H225" s="11">
        <v>1</v>
      </c>
      <c r="I225" s="13">
        <v>1048.5</v>
      </c>
      <c r="J225" s="12" t="s">
        <v>86</v>
      </c>
      <c r="K225" s="11">
        <v>7101505202</v>
      </c>
      <c r="L225" s="11">
        <v>87112434653</v>
      </c>
      <c r="M225" s="12" t="s">
        <v>87</v>
      </c>
      <c r="N225" s="8" t="s">
        <v>88</v>
      </c>
      <c r="O225" s="11" t="str">
        <f t="shared" si="14"/>
        <v>58350119</v>
      </c>
      <c r="P225" s="11" t="str">
        <f t="shared" si="15"/>
        <v>58350119</v>
      </c>
      <c r="Q225" s="12" t="s">
        <v>1020</v>
      </c>
      <c r="R225" s="8">
        <v>2</v>
      </c>
      <c r="S225" s="8" t="s">
        <v>997</v>
      </c>
      <c r="T225" s="8" t="s">
        <v>1012</v>
      </c>
      <c r="U225" s="28">
        <f>VLOOKUP($L225,Tabla1[#All],4,FALSE)</f>
        <v>20.163029999999999</v>
      </c>
      <c r="V225" s="28">
        <f>VLOOKUP($L225,Tabla1[#All],5,FALSE)</f>
        <v>-75.218351999999996</v>
      </c>
      <c r="W225" s="43" t="s">
        <v>1717</v>
      </c>
    </row>
    <row r="226" spans="2:23" ht="15.6" customHeight="1">
      <c r="B226" s="8">
        <v>2864</v>
      </c>
      <c r="C226" s="16" t="str">
        <f t="shared" si="12"/>
        <v>2864-3656</v>
      </c>
      <c r="D226" s="8">
        <v>24013656</v>
      </c>
      <c r="E226" s="8" t="str">
        <f t="shared" si="13"/>
        <v>2864 - 3656</v>
      </c>
      <c r="F226" s="9" t="s">
        <v>143</v>
      </c>
      <c r="G226" s="55">
        <v>19.3</v>
      </c>
      <c r="H226" s="11">
        <v>1</v>
      </c>
      <c r="I226" s="13">
        <v>1502.1</v>
      </c>
      <c r="J226" s="12" t="s">
        <v>144</v>
      </c>
      <c r="K226" s="11">
        <v>65082578945</v>
      </c>
      <c r="L226" s="11">
        <v>87112617772</v>
      </c>
      <c r="M226" s="12" t="s">
        <v>145</v>
      </c>
      <c r="N226" s="8" t="s">
        <v>146</v>
      </c>
      <c r="O226" s="11" t="str">
        <f t="shared" si="14"/>
        <v>72802731</v>
      </c>
      <c r="P226" s="11" t="str">
        <f t="shared" si="15"/>
        <v>58058531</v>
      </c>
      <c r="Q226" s="12" t="s">
        <v>906</v>
      </c>
      <c r="R226" s="8">
        <v>2</v>
      </c>
      <c r="S226" s="8" t="s">
        <v>836</v>
      </c>
      <c r="T226" s="8" t="s">
        <v>104</v>
      </c>
      <c r="U226" s="28">
        <f>VLOOKUP($L226,Tabla1[#All],4,FALSE)</f>
        <v>23.062971999999998</v>
      </c>
      <c r="V226" s="28">
        <f>VLOOKUP($L226,Tabla1[#All],5,FALSE)</f>
        <v>-82.439797999999996</v>
      </c>
      <c r="W226" s="43" t="s">
        <v>1717</v>
      </c>
    </row>
    <row r="227" spans="2:23" ht="15.6" customHeight="1">
      <c r="B227" s="8">
        <v>2783</v>
      </c>
      <c r="C227" s="16" t="str">
        <f t="shared" si="12"/>
        <v>2783-3336</v>
      </c>
      <c r="D227" s="8">
        <v>24013336</v>
      </c>
      <c r="E227" s="8" t="str">
        <f t="shared" si="13"/>
        <v>2783 - 3336</v>
      </c>
      <c r="F227" s="12" t="s">
        <v>650</v>
      </c>
      <c r="G227" s="10">
        <v>13.3</v>
      </c>
      <c r="H227" s="8">
        <v>1</v>
      </c>
      <c r="I227" s="13">
        <v>972.9</v>
      </c>
      <c r="J227" s="12" t="s">
        <v>50</v>
      </c>
      <c r="K227" s="8">
        <v>7101505202</v>
      </c>
      <c r="L227" s="8">
        <v>88011414103</v>
      </c>
      <c r="M227" s="12" t="s">
        <v>651</v>
      </c>
      <c r="N227" s="8" t="s">
        <v>652</v>
      </c>
      <c r="O227" s="11" t="str">
        <f t="shared" si="14"/>
        <v>58733438</v>
      </c>
      <c r="P227" s="11" t="str">
        <f t="shared" si="15"/>
        <v>58733438</v>
      </c>
      <c r="Q227" s="12" t="s">
        <v>1098</v>
      </c>
      <c r="R227" s="8">
        <v>2</v>
      </c>
      <c r="S227" s="8" t="s">
        <v>1083</v>
      </c>
      <c r="T227" s="8" t="s">
        <v>185</v>
      </c>
      <c r="U227" s="28">
        <f>VLOOKUP($L227,Tabla1[#All],4,FALSE)</f>
        <v>22.680681</v>
      </c>
      <c r="V227" s="28">
        <f>VLOOKUP($L227,Tabla1[#All],5,FALSE)</f>
        <v>-81.118342999999996</v>
      </c>
      <c r="W227" s="43" t="s">
        <v>1718</v>
      </c>
    </row>
    <row r="228" spans="2:23" ht="15.6" customHeight="1">
      <c r="B228" s="8">
        <v>2783</v>
      </c>
      <c r="C228" s="16" t="str">
        <f t="shared" si="12"/>
        <v>2783-3308</v>
      </c>
      <c r="D228" s="8">
        <v>24013308</v>
      </c>
      <c r="E228" s="8" t="str">
        <f t="shared" si="13"/>
        <v>2783 - 3308</v>
      </c>
      <c r="F228" s="12" t="s">
        <v>175</v>
      </c>
      <c r="G228" s="10">
        <v>12.4</v>
      </c>
      <c r="H228" s="8">
        <v>1</v>
      </c>
      <c r="I228" s="13">
        <v>972.9</v>
      </c>
      <c r="J228" s="12" t="s">
        <v>592</v>
      </c>
      <c r="K228" s="8">
        <v>65082578945</v>
      </c>
      <c r="L228" s="8">
        <v>88011522186</v>
      </c>
      <c r="M228" s="12" t="s">
        <v>593</v>
      </c>
      <c r="N228" s="8" t="s">
        <v>594</v>
      </c>
      <c r="O228" s="11" t="str">
        <f t="shared" si="14"/>
        <v>53407320</v>
      </c>
      <c r="P228" s="11" t="str">
        <f t="shared" si="15"/>
        <v>53407320</v>
      </c>
      <c r="Q228" s="12" t="s">
        <v>926</v>
      </c>
      <c r="R228" s="8">
        <v>2</v>
      </c>
      <c r="S228" s="8" t="s">
        <v>912</v>
      </c>
      <c r="T228" s="8" t="s">
        <v>69</v>
      </c>
      <c r="U228" s="28">
        <f>VLOOKUP($L228,Tabla1[#All],4,FALSE)</f>
        <v>20.87378</v>
      </c>
      <c r="V228" s="28">
        <f>VLOOKUP($L228,Tabla1[#All],5,FALSE)</f>
        <v>-76.256399000000002</v>
      </c>
      <c r="W228" s="43" t="s">
        <v>1717</v>
      </c>
    </row>
    <row r="229" spans="2:23" ht="15.6" customHeight="1">
      <c r="B229" s="8">
        <v>2794</v>
      </c>
      <c r="C229" s="16" t="str">
        <f t="shared" si="12"/>
        <v>2794-3562</v>
      </c>
      <c r="D229" s="11">
        <v>24013562</v>
      </c>
      <c r="E229" s="8" t="str">
        <f t="shared" si="13"/>
        <v>2794 - 3562</v>
      </c>
      <c r="F229" s="12" t="s">
        <v>538</v>
      </c>
      <c r="G229" s="33">
        <v>22.1</v>
      </c>
      <c r="H229" s="8">
        <v>1</v>
      </c>
      <c r="I229" s="13">
        <v>1781.4</v>
      </c>
      <c r="J229" s="12" t="s">
        <v>50</v>
      </c>
      <c r="K229" s="8">
        <v>7101505202</v>
      </c>
      <c r="L229" s="8">
        <v>88021239408</v>
      </c>
      <c r="M229" s="12" t="s">
        <v>531</v>
      </c>
      <c r="N229" s="8" t="s">
        <v>532</v>
      </c>
      <c r="O229" s="11" t="str">
        <f t="shared" si="14"/>
        <v>53618271</v>
      </c>
      <c r="P229" s="11" t="str">
        <f t="shared" si="15"/>
        <v>53618271</v>
      </c>
      <c r="Q229" s="12" t="s">
        <v>965</v>
      </c>
      <c r="R229" s="8">
        <v>2</v>
      </c>
      <c r="S229" s="8" t="s">
        <v>964</v>
      </c>
      <c r="T229" s="8" t="s">
        <v>530</v>
      </c>
      <c r="U229" s="28">
        <f>VLOOKUP($L229,Tabla1[#All],4,FALSE)</f>
        <v>22.835650000000001</v>
      </c>
      <c r="V229" s="28">
        <f>VLOOKUP($L229,Tabla1[#All],5,FALSE)</f>
        <v>-82.030754000000002</v>
      </c>
      <c r="W229" s="43" t="s">
        <v>1717</v>
      </c>
    </row>
    <row r="230" spans="2:23" ht="15.6" customHeight="1">
      <c r="B230" s="8">
        <v>2794</v>
      </c>
      <c r="C230" s="16" t="str">
        <f t="shared" si="12"/>
        <v>2794-3475</v>
      </c>
      <c r="D230" s="11">
        <v>24013475</v>
      </c>
      <c r="E230" s="8" t="str">
        <f t="shared" si="13"/>
        <v>2794 - 3475</v>
      </c>
      <c r="F230" s="12" t="s">
        <v>536</v>
      </c>
      <c r="G230" s="10">
        <v>10.3</v>
      </c>
      <c r="H230" s="8">
        <v>1</v>
      </c>
      <c r="I230" s="13">
        <v>821.7</v>
      </c>
      <c r="J230" s="12" t="s">
        <v>50</v>
      </c>
      <c r="K230" s="8">
        <v>7101505202</v>
      </c>
      <c r="L230" s="8">
        <v>88071148699</v>
      </c>
      <c r="M230" s="12" t="s">
        <v>379</v>
      </c>
      <c r="N230" s="8" t="s">
        <v>380</v>
      </c>
      <c r="O230" s="11" t="str">
        <f t="shared" si="14"/>
        <v>58582141</v>
      </c>
      <c r="P230" s="11" t="str">
        <f t="shared" si="15"/>
        <v>58582141</v>
      </c>
      <c r="Q230" s="12" t="s">
        <v>952</v>
      </c>
      <c r="R230" s="8">
        <v>2</v>
      </c>
      <c r="S230" s="8" t="s">
        <v>919</v>
      </c>
      <c r="T230" s="8" t="s">
        <v>931</v>
      </c>
      <c r="U230" s="28">
        <f>VLOOKUP($L230,Tabla1[#All],4,FALSE)</f>
        <v>20.251429999999999</v>
      </c>
      <c r="V230" s="28">
        <f>VLOOKUP($L230,Tabla1[#All],5,FALSE)</f>
        <v>-77.202066000000002</v>
      </c>
      <c r="W230" s="43" t="s">
        <v>1717</v>
      </c>
    </row>
    <row r="231" spans="2:23" ht="15.6" customHeight="1">
      <c r="B231" s="8">
        <v>2794</v>
      </c>
      <c r="C231" s="16" t="str">
        <f t="shared" si="12"/>
        <v>2794-3476</v>
      </c>
      <c r="D231" s="11">
        <v>24013476</v>
      </c>
      <c r="E231" s="8" t="str">
        <f t="shared" si="13"/>
        <v>2794 - 3476</v>
      </c>
      <c r="F231" s="12" t="s">
        <v>381</v>
      </c>
      <c r="G231" s="10">
        <v>15.6</v>
      </c>
      <c r="H231" s="8">
        <v>1</v>
      </c>
      <c r="I231" s="13">
        <v>295</v>
      </c>
      <c r="J231" s="12" t="s">
        <v>50</v>
      </c>
      <c r="K231" s="8">
        <v>7101505202</v>
      </c>
      <c r="L231" s="8">
        <v>88071148699</v>
      </c>
      <c r="M231" s="12" t="s">
        <v>379</v>
      </c>
      <c r="N231" s="8" t="s">
        <v>380</v>
      </c>
      <c r="O231" s="11" t="str">
        <f t="shared" si="14"/>
        <v>58582141</v>
      </c>
      <c r="P231" s="11" t="str">
        <f t="shared" si="15"/>
        <v>58582141</v>
      </c>
      <c r="Q231" s="12" t="s">
        <v>952</v>
      </c>
      <c r="R231" s="8">
        <v>2</v>
      </c>
      <c r="S231" s="8" t="s">
        <v>919</v>
      </c>
      <c r="T231" s="8" t="s">
        <v>931</v>
      </c>
      <c r="U231" s="28">
        <f>VLOOKUP($L231,Tabla1[#All],4,FALSE)</f>
        <v>20.251429999999999</v>
      </c>
      <c r="V231" s="28">
        <f>VLOOKUP($L231,Tabla1[#All],5,FALSE)</f>
        <v>-77.202066000000002</v>
      </c>
      <c r="W231" s="43" t="s">
        <v>1717</v>
      </c>
    </row>
    <row r="232" spans="2:23" ht="15.6" customHeight="1">
      <c r="B232" s="8">
        <v>2794</v>
      </c>
      <c r="C232" s="16" t="str">
        <f t="shared" si="12"/>
        <v>2794-3454</v>
      </c>
      <c r="D232" s="11">
        <v>24013454</v>
      </c>
      <c r="E232" s="8" t="str">
        <f t="shared" si="13"/>
        <v>2794 - 3454</v>
      </c>
      <c r="F232" s="12" t="s">
        <v>333</v>
      </c>
      <c r="G232" s="10">
        <v>11.6</v>
      </c>
      <c r="H232" s="8">
        <v>1</v>
      </c>
      <c r="I232" s="13">
        <v>295</v>
      </c>
      <c r="J232" s="12" t="s">
        <v>50</v>
      </c>
      <c r="K232" s="8">
        <v>7101505202</v>
      </c>
      <c r="L232" s="8">
        <v>88092514279</v>
      </c>
      <c r="M232" s="12" t="s">
        <v>334</v>
      </c>
      <c r="N232" s="8" t="s">
        <v>335</v>
      </c>
      <c r="O232" s="11" t="str">
        <f t="shared" si="14"/>
        <v>54251539</v>
      </c>
      <c r="P232" s="11" t="str">
        <f t="shared" si="15"/>
        <v>54251539</v>
      </c>
      <c r="Q232" s="12" t="s">
        <v>1076</v>
      </c>
      <c r="R232" s="8">
        <v>2</v>
      </c>
      <c r="S232" s="8" t="s">
        <v>1042</v>
      </c>
      <c r="T232" s="8" t="s">
        <v>211</v>
      </c>
      <c r="U232" s="28">
        <f>VLOOKUP($L232,Tabla1[#All],4,FALSE)</f>
        <v>22.398679000000001</v>
      </c>
      <c r="V232" s="28">
        <f>VLOOKUP($L232,Tabla1[#All],5,FALSE)</f>
        <v>-79.953992</v>
      </c>
      <c r="W232" s="43" t="s">
        <v>1718</v>
      </c>
    </row>
    <row r="233" spans="2:23" ht="15.6" customHeight="1">
      <c r="B233" s="8">
        <v>2794</v>
      </c>
      <c r="C233" s="16" t="str">
        <f t="shared" si="12"/>
        <v>2794-3455</v>
      </c>
      <c r="D233" s="11">
        <v>24013455</v>
      </c>
      <c r="E233" s="8" t="str">
        <f t="shared" si="13"/>
        <v>2794 - 3455</v>
      </c>
      <c r="F233" s="12" t="s">
        <v>336</v>
      </c>
      <c r="G233" s="10">
        <v>4.2</v>
      </c>
      <c r="H233" s="8">
        <v>1</v>
      </c>
      <c r="I233" s="13">
        <v>295</v>
      </c>
      <c r="J233" s="12" t="s">
        <v>50</v>
      </c>
      <c r="K233" s="8">
        <v>7101505202</v>
      </c>
      <c r="L233" s="8">
        <v>88092514279</v>
      </c>
      <c r="M233" s="12" t="s">
        <v>334</v>
      </c>
      <c r="N233" s="8" t="s">
        <v>335</v>
      </c>
      <c r="O233" s="11" t="str">
        <f t="shared" si="14"/>
        <v>54251539</v>
      </c>
      <c r="P233" s="11" t="str">
        <f t="shared" si="15"/>
        <v>54251539</v>
      </c>
      <c r="Q233" s="12" t="s">
        <v>1076</v>
      </c>
      <c r="R233" s="8">
        <v>2</v>
      </c>
      <c r="S233" s="8" t="s">
        <v>1042</v>
      </c>
      <c r="T233" s="8" t="s">
        <v>211</v>
      </c>
      <c r="U233" s="28">
        <f>VLOOKUP($L233,Tabla1[#All],4,FALSE)</f>
        <v>22.398679000000001</v>
      </c>
      <c r="V233" s="28">
        <f>VLOOKUP($L233,Tabla1[#All],5,FALSE)</f>
        <v>-79.953992</v>
      </c>
      <c r="W233" s="43" t="s">
        <v>1718</v>
      </c>
    </row>
    <row r="234" spans="2:23" ht="15.6" customHeight="1">
      <c r="B234" s="8">
        <v>2794</v>
      </c>
      <c r="C234" s="16" t="str">
        <f t="shared" si="12"/>
        <v>2794-3508</v>
      </c>
      <c r="D234" s="11">
        <v>24013508</v>
      </c>
      <c r="E234" s="8" t="str">
        <f t="shared" si="13"/>
        <v>2794 - 3508</v>
      </c>
      <c r="F234" s="12" t="s">
        <v>560</v>
      </c>
      <c r="G234" s="10">
        <v>23.2</v>
      </c>
      <c r="H234" s="8">
        <v>1</v>
      </c>
      <c r="I234" s="13">
        <v>1857</v>
      </c>
      <c r="J234" s="12" t="s">
        <v>50</v>
      </c>
      <c r="K234" s="8">
        <v>7101505202</v>
      </c>
      <c r="L234" s="8">
        <v>88121728335</v>
      </c>
      <c r="M234" s="12" t="s">
        <v>441</v>
      </c>
      <c r="N234" s="8" t="s">
        <v>442</v>
      </c>
      <c r="O234" s="11" t="str">
        <f t="shared" si="14"/>
        <v>53241663</v>
      </c>
      <c r="P234" s="11" t="str">
        <f t="shared" si="15"/>
        <v>53241663</v>
      </c>
      <c r="Q234" s="12" t="s">
        <v>955</v>
      </c>
      <c r="R234" s="8">
        <v>2</v>
      </c>
      <c r="S234" s="8" t="s">
        <v>918</v>
      </c>
      <c r="T234" s="8" t="s">
        <v>69</v>
      </c>
      <c r="U234" s="28">
        <f>VLOOKUP($L234,Tabla1[#All],4,FALSE)</f>
        <v>20.6560703</v>
      </c>
      <c r="V234" s="28">
        <f>VLOOKUP($L234,Tabla1[#All],5,FALSE)</f>
        <v>-75.680064900000005</v>
      </c>
      <c r="W234" s="43" t="s">
        <v>1717</v>
      </c>
    </row>
    <row r="235" spans="2:23" ht="15.6" customHeight="1">
      <c r="B235" s="8">
        <v>2783</v>
      </c>
      <c r="C235" s="16" t="str">
        <f t="shared" si="12"/>
        <v>2783-3365</v>
      </c>
      <c r="D235" s="8">
        <v>24013365</v>
      </c>
      <c r="E235" s="8" t="str">
        <f t="shared" si="13"/>
        <v>2783 - 3365</v>
      </c>
      <c r="F235" s="12" t="s">
        <v>723</v>
      </c>
      <c r="G235" s="10">
        <v>13</v>
      </c>
      <c r="H235" s="8">
        <v>1</v>
      </c>
      <c r="I235" s="13">
        <v>1048.5</v>
      </c>
      <c r="J235" s="12" t="s">
        <v>50</v>
      </c>
      <c r="K235" s="8">
        <v>7101505202</v>
      </c>
      <c r="L235" s="8">
        <v>88122428415</v>
      </c>
      <c r="M235" s="12" t="s">
        <v>724</v>
      </c>
      <c r="N235" s="8" t="s">
        <v>725</v>
      </c>
      <c r="O235" s="11" t="str">
        <f t="shared" si="14"/>
        <v>58185294</v>
      </c>
      <c r="P235" s="11" t="str">
        <f t="shared" si="15"/>
        <v>58185294</v>
      </c>
      <c r="Q235" s="12" t="s">
        <v>935</v>
      </c>
      <c r="R235" s="8">
        <v>2</v>
      </c>
      <c r="S235" s="8" t="s">
        <v>918</v>
      </c>
      <c r="T235" s="8" t="s">
        <v>69</v>
      </c>
      <c r="U235" s="28">
        <f>VLOOKUP($L235,Tabla1[#All],4,FALSE)</f>
        <v>20.634008000000001</v>
      </c>
      <c r="V235" s="28">
        <f>VLOOKUP($L235,Tabla1[#All],5,FALSE)</f>
        <v>-75.697716</v>
      </c>
      <c r="W235" s="43" t="s">
        <v>1717</v>
      </c>
    </row>
    <row r="236" spans="2:23" ht="15.6" customHeight="1">
      <c r="B236" s="8">
        <v>2864</v>
      </c>
      <c r="C236" s="16" t="str">
        <f t="shared" si="12"/>
        <v>2864-3610</v>
      </c>
      <c r="D236" s="8">
        <v>24013610</v>
      </c>
      <c r="E236" s="8" t="str">
        <f t="shared" si="13"/>
        <v>2864 - 3610</v>
      </c>
      <c r="F236" s="9" t="s">
        <v>160</v>
      </c>
      <c r="G236" s="55">
        <v>24.5</v>
      </c>
      <c r="H236" s="11">
        <v>1</v>
      </c>
      <c r="I236" s="13">
        <v>2008.2</v>
      </c>
      <c r="J236" s="12" t="s">
        <v>149</v>
      </c>
      <c r="K236" s="11">
        <v>71072105384</v>
      </c>
      <c r="L236" s="11">
        <v>89013021298</v>
      </c>
      <c r="M236" s="12" t="s">
        <v>161</v>
      </c>
      <c r="N236" s="8" t="s">
        <v>151</v>
      </c>
      <c r="O236" s="11" t="str">
        <f t="shared" si="14"/>
        <v>51599652</v>
      </c>
      <c r="P236" s="11" t="str">
        <f t="shared" si="15"/>
        <v>51599652</v>
      </c>
      <c r="Q236" s="12" t="s">
        <v>908</v>
      </c>
      <c r="R236" s="8">
        <v>2</v>
      </c>
      <c r="S236" s="8" t="s">
        <v>843</v>
      </c>
      <c r="T236" s="8" t="s">
        <v>104</v>
      </c>
      <c r="U236" s="28">
        <f>VLOOKUP($L236,Tabla1[#All],4,FALSE)</f>
        <v>23.070526999999998</v>
      </c>
      <c r="V236" s="28">
        <f>VLOOKUP($L236,Tabla1[#All],5,FALSE)</f>
        <v>-82.437963999999994</v>
      </c>
      <c r="W236" s="43" t="s">
        <v>1717</v>
      </c>
    </row>
    <row r="237" spans="2:23" ht="15.6" customHeight="1">
      <c r="B237" s="8">
        <v>2864</v>
      </c>
      <c r="C237" s="16" t="str">
        <f t="shared" si="12"/>
        <v>2864-3612</v>
      </c>
      <c r="D237" s="8">
        <v>24013612</v>
      </c>
      <c r="E237" s="8" t="str">
        <f t="shared" si="13"/>
        <v>2864 - 3612</v>
      </c>
      <c r="F237" s="9" t="s">
        <v>163</v>
      </c>
      <c r="G237" s="55">
        <v>10.66</v>
      </c>
      <c r="H237" s="11">
        <v>1</v>
      </c>
      <c r="I237" s="13">
        <v>1275.3</v>
      </c>
      <c r="J237" s="12" t="s">
        <v>149</v>
      </c>
      <c r="K237" s="11">
        <v>71072105384</v>
      </c>
      <c r="L237" s="11">
        <v>89013021298</v>
      </c>
      <c r="M237" s="12" t="s">
        <v>161</v>
      </c>
      <c r="N237" s="8" t="s">
        <v>151</v>
      </c>
      <c r="O237" s="11" t="str">
        <f t="shared" si="14"/>
        <v>51599652</v>
      </c>
      <c r="P237" s="11" t="str">
        <f t="shared" si="15"/>
        <v>51599652</v>
      </c>
      <c r="Q237" s="12" t="s">
        <v>908</v>
      </c>
      <c r="R237" s="8">
        <v>2</v>
      </c>
      <c r="S237" s="8" t="s">
        <v>843</v>
      </c>
      <c r="T237" s="8" t="s">
        <v>104</v>
      </c>
      <c r="U237" s="28">
        <f>VLOOKUP($L237,Tabla1[#All],4,FALSE)</f>
        <v>23.070526999999998</v>
      </c>
      <c r="V237" s="28">
        <f>VLOOKUP($L237,Tabla1[#All],5,FALSE)</f>
        <v>-82.437963999999994</v>
      </c>
      <c r="W237" s="43" t="s">
        <v>1717</v>
      </c>
    </row>
    <row r="238" spans="2:23" ht="15.6" customHeight="1">
      <c r="B238" s="8">
        <v>2864</v>
      </c>
      <c r="C238" s="16" t="str">
        <f t="shared" si="12"/>
        <v>2864-3632</v>
      </c>
      <c r="D238" s="8">
        <v>24013632</v>
      </c>
      <c r="E238" s="8" t="str">
        <f t="shared" si="13"/>
        <v>2864 - 3632</v>
      </c>
      <c r="F238" s="9" t="s">
        <v>213</v>
      </c>
      <c r="G238" s="10">
        <v>13.5</v>
      </c>
      <c r="H238" s="11">
        <v>1</v>
      </c>
      <c r="I238" s="13">
        <v>1010.7</v>
      </c>
      <c r="J238" s="12" t="s">
        <v>214</v>
      </c>
      <c r="K238" s="11">
        <v>65082578945</v>
      </c>
      <c r="L238" s="11">
        <v>89021832360</v>
      </c>
      <c r="M238" s="12" t="s">
        <v>215</v>
      </c>
      <c r="N238" s="8" t="s">
        <v>216</v>
      </c>
      <c r="O238" s="11" t="str">
        <f t="shared" si="14"/>
        <v>51923866</v>
      </c>
      <c r="P238" s="11" t="str">
        <f t="shared" si="15"/>
        <v>51923866</v>
      </c>
      <c r="Q238" s="12" t="s">
        <v>1066</v>
      </c>
      <c r="R238" s="8">
        <v>2</v>
      </c>
      <c r="S238" s="8" t="s">
        <v>1046</v>
      </c>
      <c r="T238" s="8" t="s">
        <v>1052</v>
      </c>
      <c r="U238" s="28">
        <f>VLOOKUP($L238,Tabla1[#All],4,FALSE)</f>
        <v>22.252371</v>
      </c>
      <c r="V238" s="28">
        <f>VLOOKUP($L238,Tabla1[#All],5,FALSE)</f>
        <v>-79.264410999999996</v>
      </c>
      <c r="W238" s="43" t="s">
        <v>1718</v>
      </c>
    </row>
    <row r="239" spans="2:23" ht="15.6" customHeight="1">
      <c r="B239" s="8">
        <v>2794</v>
      </c>
      <c r="C239" s="16" t="str">
        <f t="shared" si="12"/>
        <v>2794-3501</v>
      </c>
      <c r="D239" s="11">
        <v>24013501</v>
      </c>
      <c r="E239" s="8" t="str">
        <f t="shared" si="13"/>
        <v>2794 - 3501</v>
      </c>
      <c r="F239" s="12" t="s">
        <v>568</v>
      </c>
      <c r="G239" s="10">
        <v>24.4</v>
      </c>
      <c r="H239" s="8">
        <v>1</v>
      </c>
      <c r="I239" s="13">
        <v>1932.6</v>
      </c>
      <c r="J239" s="12" t="s">
        <v>50</v>
      </c>
      <c r="K239" s="11">
        <v>7101505202</v>
      </c>
      <c r="L239" s="11">
        <v>89022816414</v>
      </c>
      <c r="M239" s="12" t="s">
        <v>426</v>
      </c>
      <c r="N239" s="11" t="s">
        <v>427</v>
      </c>
      <c r="O239" s="11" t="str">
        <f t="shared" si="14"/>
        <v>55455480</v>
      </c>
      <c r="P239" s="11" t="str">
        <f t="shared" si="15"/>
        <v>55455480</v>
      </c>
      <c r="Q239" s="12" t="s">
        <v>977</v>
      </c>
      <c r="R239" s="8">
        <v>2</v>
      </c>
      <c r="S239" s="8" t="s">
        <v>967</v>
      </c>
      <c r="T239" s="8" t="s">
        <v>202</v>
      </c>
      <c r="U239" s="28">
        <f>VLOOKUP($L239,Tabla1[#All],4,FALSE)</f>
        <v>22.566068000000001</v>
      </c>
      <c r="V239" s="28">
        <f>VLOOKUP($L239,Tabla1[#All],5,FALSE)</f>
        <v>-83.442031</v>
      </c>
      <c r="W239" s="43" t="s">
        <v>1717</v>
      </c>
    </row>
    <row r="240" spans="2:23" ht="15.6" customHeight="1">
      <c r="B240" s="8">
        <v>2794</v>
      </c>
      <c r="C240" s="16" t="str">
        <f t="shared" si="12"/>
        <v>2794-3556</v>
      </c>
      <c r="D240" s="11">
        <v>24013556</v>
      </c>
      <c r="E240" s="8" t="str">
        <f t="shared" si="13"/>
        <v>2794 - 3556</v>
      </c>
      <c r="F240" s="12" t="s">
        <v>539</v>
      </c>
      <c r="G240" s="10">
        <v>22.6</v>
      </c>
      <c r="H240" s="8">
        <v>1</v>
      </c>
      <c r="I240" s="13">
        <v>1857</v>
      </c>
      <c r="J240" s="12" t="s">
        <v>50</v>
      </c>
      <c r="K240" s="8">
        <v>7101505202</v>
      </c>
      <c r="L240" s="8">
        <v>89030213060</v>
      </c>
      <c r="M240" s="12" t="s">
        <v>523</v>
      </c>
      <c r="N240" s="8" t="s">
        <v>524</v>
      </c>
      <c r="O240" s="11" t="str">
        <f t="shared" si="14"/>
        <v>54728848</v>
      </c>
      <c r="P240" s="11" t="str">
        <f t="shared" si="15"/>
        <v>54728848</v>
      </c>
      <c r="Q240" s="12" t="s">
        <v>1691</v>
      </c>
      <c r="R240" s="8">
        <v>2</v>
      </c>
      <c r="S240" s="8" t="s">
        <v>994</v>
      </c>
      <c r="T240" s="8" t="s">
        <v>79</v>
      </c>
      <c r="U240" s="28">
        <f>VLOOKUP($L240,Tabla1[#All],4,FALSE)</f>
        <v>20.001709000000002</v>
      </c>
      <c r="V240" s="28">
        <f>VLOOKUP($L240,Tabla1[#All],5,FALSE)</f>
        <v>-75.830879999999993</v>
      </c>
      <c r="W240" s="43" t="s">
        <v>1717</v>
      </c>
    </row>
    <row r="241" spans="2:23" ht="15.6" customHeight="1">
      <c r="B241" s="8">
        <v>2794</v>
      </c>
      <c r="C241" s="16" t="str">
        <f t="shared" si="12"/>
        <v>2794-3557</v>
      </c>
      <c r="D241" s="11">
        <v>24013557</v>
      </c>
      <c r="E241" s="8" t="str">
        <f t="shared" si="13"/>
        <v>2794 - 3557</v>
      </c>
      <c r="F241" s="12" t="s">
        <v>287</v>
      </c>
      <c r="G241" s="10">
        <v>10.9</v>
      </c>
      <c r="H241" s="8">
        <v>1</v>
      </c>
      <c r="I241" s="13">
        <v>897.3</v>
      </c>
      <c r="J241" s="12" t="s">
        <v>50</v>
      </c>
      <c r="K241" s="8">
        <v>7101505202</v>
      </c>
      <c r="L241" s="8">
        <v>89030213060</v>
      </c>
      <c r="M241" s="12" t="s">
        <v>523</v>
      </c>
      <c r="N241" s="8" t="s">
        <v>524</v>
      </c>
      <c r="O241" s="11" t="str">
        <f t="shared" si="14"/>
        <v>54728848</v>
      </c>
      <c r="P241" s="11" t="str">
        <f t="shared" si="15"/>
        <v>54728848</v>
      </c>
      <c r="Q241" s="12" t="s">
        <v>1691</v>
      </c>
      <c r="R241" s="8">
        <v>2</v>
      </c>
      <c r="S241" s="8" t="s">
        <v>994</v>
      </c>
      <c r="T241" s="8" t="s">
        <v>79</v>
      </c>
      <c r="U241" s="28">
        <f>VLOOKUP($L241,Tabla1[#All],4,FALSE)</f>
        <v>20.001709000000002</v>
      </c>
      <c r="V241" s="28">
        <f>VLOOKUP($L241,Tabla1[#All],5,FALSE)</f>
        <v>-75.830879999999993</v>
      </c>
      <c r="W241" s="43" t="s">
        <v>1717</v>
      </c>
    </row>
    <row r="242" spans="2:23" ht="15.6" customHeight="1">
      <c r="B242" s="8">
        <v>2783</v>
      </c>
      <c r="C242" s="16" t="str">
        <f t="shared" si="12"/>
        <v>2783-3409</v>
      </c>
      <c r="D242" s="8">
        <v>24013409</v>
      </c>
      <c r="E242" s="8" t="str">
        <f t="shared" si="13"/>
        <v>2783 - 3409</v>
      </c>
      <c r="F242" s="12" t="s">
        <v>790</v>
      </c>
      <c r="G242" s="10">
        <v>19.079999999999998</v>
      </c>
      <c r="H242" s="8">
        <v>1</v>
      </c>
      <c r="I242" s="13">
        <v>1638.6</v>
      </c>
      <c r="J242" s="12" t="s">
        <v>791</v>
      </c>
      <c r="K242" s="8">
        <v>7801505202</v>
      </c>
      <c r="L242" s="8">
        <v>89092637571</v>
      </c>
      <c r="M242" s="12" t="s">
        <v>792</v>
      </c>
      <c r="N242" s="8" t="s">
        <v>793</v>
      </c>
      <c r="O242" s="11" t="str">
        <f t="shared" si="14"/>
        <v>58590506</v>
      </c>
      <c r="P242" s="11" t="str">
        <f t="shared" si="15"/>
        <v>58590506</v>
      </c>
      <c r="Q242" s="12" t="s">
        <v>943</v>
      </c>
      <c r="R242" s="8">
        <v>2</v>
      </c>
      <c r="S242" s="8" t="s">
        <v>912</v>
      </c>
      <c r="T242" s="8" t="s">
        <v>69</v>
      </c>
      <c r="U242" s="28">
        <f>VLOOKUP($L242,Tabla1[#All],4,FALSE)</f>
        <v>20.887139000000001</v>
      </c>
      <c r="V242" s="28">
        <f>VLOOKUP($L242,Tabla1[#All],5,FALSE)</f>
        <v>-76.260452999999998</v>
      </c>
      <c r="W242" s="43" t="s">
        <v>1717</v>
      </c>
    </row>
    <row r="243" spans="2:23" ht="15.6" customHeight="1">
      <c r="B243" s="8">
        <v>2864</v>
      </c>
      <c r="C243" s="16" t="str">
        <f t="shared" si="12"/>
        <v>2864-3650</v>
      </c>
      <c r="D243" s="8">
        <v>24013650</v>
      </c>
      <c r="E243" s="8" t="str">
        <f t="shared" si="13"/>
        <v>2864 - 3650</v>
      </c>
      <c r="F243" s="9" t="s">
        <v>33</v>
      </c>
      <c r="G243" s="10">
        <v>17</v>
      </c>
      <c r="H243" s="11">
        <v>1</v>
      </c>
      <c r="I243" s="13">
        <v>1350.9</v>
      </c>
      <c r="J243" s="12" t="s">
        <v>1199</v>
      </c>
      <c r="K243" s="11">
        <v>7101505202</v>
      </c>
      <c r="L243" s="11">
        <v>89100130152</v>
      </c>
      <c r="M243" s="12" t="s">
        <v>253</v>
      </c>
      <c r="N243" s="8" t="s">
        <v>254</v>
      </c>
      <c r="O243" s="11" t="str">
        <f t="shared" si="14"/>
        <v>55534575</v>
      </c>
      <c r="P243" s="11" t="str">
        <f t="shared" si="15"/>
        <v>55534575</v>
      </c>
      <c r="Q243" s="12" t="s">
        <v>1072</v>
      </c>
      <c r="R243" s="8">
        <v>2</v>
      </c>
      <c r="S243" s="8" t="s">
        <v>1042</v>
      </c>
      <c r="T243" s="8" t="s">
        <v>211</v>
      </c>
      <c r="U243" s="28">
        <f>VLOOKUP($L243,Tabla1[#All],4,FALSE)</f>
        <v>22.396975000000001</v>
      </c>
      <c r="V243" s="28">
        <f>VLOOKUP($L243,Tabla1[#All],5,FALSE)</f>
        <v>-79.966313999999997</v>
      </c>
      <c r="W243" s="43" t="s">
        <v>1718</v>
      </c>
    </row>
    <row r="244" spans="2:23" ht="15.6" customHeight="1">
      <c r="B244" s="8">
        <v>2794</v>
      </c>
      <c r="C244" s="16" t="str">
        <f t="shared" si="12"/>
        <v>2794-3430</v>
      </c>
      <c r="D244" s="11">
        <v>24013430</v>
      </c>
      <c r="E244" s="8" t="str">
        <f t="shared" si="13"/>
        <v>2794 - 3430</v>
      </c>
      <c r="F244" s="12" t="s">
        <v>288</v>
      </c>
      <c r="G244" s="10">
        <v>17.399999999999999</v>
      </c>
      <c r="H244" s="8">
        <v>1</v>
      </c>
      <c r="I244" s="13">
        <v>1350.9</v>
      </c>
      <c r="J244" s="12" t="s">
        <v>50</v>
      </c>
      <c r="K244" s="8">
        <v>7101505202</v>
      </c>
      <c r="L244" s="8">
        <v>89101437434</v>
      </c>
      <c r="M244" s="12" t="s">
        <v>289</v>
      </c>
      <c r="N244" s="8" t="s">
        <v>290</v>
      </c>
      <c r="O244" s="11" t="str">
        <f t="shared" si="14"/>
        <v>56547567</v>
      </c>
      <c r="P244" s="11" t="str">
        <f t="shared" si="15"/>
        <v>56547567</v>
      </c>
      <c r="Q244" s="12" t="s">
        <v>946</v>
      </c>
      <c r="R244" s="8">
        <v>2</v>
      </c>
      <c r="S244" s="8" t="s">
        <v>922</v>
      </c>
      <c r="T244" s="8" t="s">
        <v>69</v>
      </c>
      <c r="U244" s="28">
        <f>VLOOKUP($L244,Tabla1[#All],4,FALSE)</f>
        <v>21.110945000000001</v>
      </c>
      <c r="V244" s="28">
        <f>VLOOKUP($L244,Tabla1[#All],5,FALSE)</f>
        <v>-76.133002000000005</v>
      </c>
      <c r="W244" s="43" t="s">
        <v>1717</v>
      </c>
    </row>
    <row r="245" spans="2:23" ht="15.6" customHeight="1">
      <c r="B245" s="8">
        <v>2794</v>
      </c>
      <c r="C245" s="16" t="str">
        <f t="shared" si="12"/>
        <v>2794-3431</v>
      </c>
      <c r="D245" s="11">
        <v>24013431</v>
      </c>
      <c r="E245" s="8" t="str">
        <f t="shared" si="13"/>
        <v>2794 - 3431</v>
      </c>
      <c r="F245" s="12" t="s">
        <v>291</v>
      </c>
      <c r="G245" s="10">
        <v>17.899999999999999</v>
      </c>
      <c r="H245" s="8">
        <v>1</v>
      </c>
      <c r="I245" s="13">
        <v>1426.5</v>
      </c>
      <c r="J245" s="12" t="s">
        <v>50</v>
      </c>
      <c r="K245" s="8">
        <v>7101505202</v>
      </c>
      <c r="L245" s="8">
        <v>89101437434</v>
      </c>
      <c r="M245" s="12" t="s">
        <v>289</v>
      </c>
      <c r="N245" s="8" t="s">
        <v>290</v>
      </c>
      <c r="O245" s="11" t="str">
        <f t="shared" si="14"/>
        <v>56547567</v>
      </c>
      <c r="P245" s="11" t="str">
        <f t="shared" si="15"/>
        <v>56547567</v>
      </c>
      <c r="Q245" s="12" t="s">
        <v>946</v>
      </c>
      <c r="R245" s="8">
        <v>2</v>
      </c>
      <c r="S245" s="8" t="s">
        <v>922</v>
      </c>
      <c r="T245" s="8" t="s">
        <v>69</v>
      </c>
      <c r="U245" s="28">
        <f>VLOOKUP($L245,Tabla1[#All],4,FALSE)</f>
        <v>21.110945000000001</v>
      </c>
      <c r="V245" s="28">
        <f>VLOOKUP($L245,Tabla1[#All],5,FALSE)</f>
        <v>-76.133002000000005</v>
      </c>
      <c r="W245" s="43" t="s">
        <v>1717</v>
      </c>
    </row>
    <row r="246" spans="2:23" ht="15.6" customHeight="1">
      <c r="B246" s="8">
        <v>2794</v>
      </c>
      <c r="C246" s="16" t="str">
        <f t="shared" si="12"/>
        <v>2794-3432</v>
      </c>
      <c r="D246" s="11">
        <v>24013432</v>
      </c>
      <c r="E246" s="8" t="str">
        <f t="shared" si="13"/>
        <v>2794 - 3432</v>
      </c>
      <c r="F246" s="12" t="s">
        <v>292</v>
      </c>
      <c r="G246" s="10">
        <v>3</v>
      </c>
      <c r="H246" s="8">
        <v>1</v>
      </c>
      <c r="I246" s="13">
        <v>295</v>
      </c>
      <c r="J246" s="12" t="s">
        <v>50</v>
      </c>
      <c r="K246" s="8">
        <v>7101505202</v>
      </c>
      <c r="L246" s="8">
        <v>89101437434</v>
      </c>
      <c r="M246" s="12" t="s">
        <v>289</v>
      </c>
      <c r="N246" s="8" t="s">
        <v>290</v>
      </c>
      <c r="O246" s="11" t="str">
        <f t="shared" si="14"/>
        <v>56547567</v>
      </c>
      <c r="P246" s="11" t="str">
        <f t="shared" si="15"/>
        <v>56547567</v>
      </c>
      <c r="Q246" s="12" t="s">
        <v>946</v>
      </c>
      <c r="R246" s="8">
        <v>2</v>
      </c>
      <c r="S246" s="8" t="s">
        <v>922</v>
      </c>
      <c r="T246" s="8" t="s">
        <v>69</v>
      </c>
      <c r="U246" s="28">
        <f>VLOOKUP($L246,Tabla1[#All],4,FALSE)</f>
        <v>21.110945000000001</v>
      </c>
      <c r="V246" s="28">
        <f>VLOOKUP($L246,Tabla1[#All],5,FALSE)</f>
        <v>-76.133002000000005</v>
      </c>
      <c r="W246" s="43" t="s">
        <v>1717</v>
      </c>
    </row>
    <row r="247" spans="2:23" ht="15.6" customHeight="1">
      <c r="B247" s="8">
        <v>2794</v>
      </c>
      <c r="C247" s="16" t="str">
        <f t="shared" si="12"/>
        <v>2794-3529</v>
      </c>
      <c r="D247" s="11">
        <v>24013529</v>
      </c>
      <c r="E247" s="8" t="str">
        <f t="shared" si="13"/>
        <v>2794 - 3529</v>
      </c>
      <c r="F247" s="12" t="s">
        <v>549</v>
      </c>
      <c r="G247" s="10">
        <v>17.600000000000001</v>
      </c>
      <c r="H247" s="8">
        <v>1</v>
      </c>
      <c r="I247" s="13">
        <v>1426.5</v>
      </c>
      <c r="J247" s="12" t="s">
        <v>50</v>
      </c>
      <c r="K247" s="11">
        <v>7101505202</v>
      </c>
      <c r="L247" s="8">
        <v>89101437434</v>
      </c>
      <c r="M247" s="12" t="s">
        <v>289</v>
      </c>
      <c r="N247" s="8" t="s">
        <v>290</v>
      </c>
      <c r="O247" s="11" t="str">
        <f t="shared" si="14"/>
        <v>56547567</v>
      </c>
      <c r="P247" s="11" t="str">
        <f t="shared" si="15"/>
        <v>56547567</v>
      </c>
      <c r="Q247" s="12" t="s">
        <v>946</v>
      </c>
      <c r="R247" s="8">
        <v>2</v>
      </c>
      <c r="S247" s="8" t="s">
        <v>922</v>
      </c>
      <c r="T247" s="8" t="s">
        <v>69</v>
      </c>
      <c r="U247" s="28">
        <f>VLOOKUP($L247,Tabla1[#All],4,FALSE)</f>
        <v>21.110945000000001</v>
      </c>
      <c r="V247" s="28">
        <f>VLOOKUP($L247,Tabla1[#All],5,FALSE)</f>
        <v>-76.133002000000005</v>
      </c>
      <c r="W247" s="43" t="s">
        <v>1717</v>
      </c>
    </row>
    <row r="248" spans="2:23" ht="15.6" customHeight="1">
      <c r="B248" s="8">
        <v>2794</v>
      </c>
      <c r="C248" s="16" t="str">
        <f t="shared" si="12"/>
        <v>2794-3522</v>
      </c>
      <c r="D248" s="11">
        <v>24013522</v>
      </c>
      <c r="E248" s="8" t="str">
        <f t="shared" si="13"/>
        <v>2794 - 3522</v>
      </c>
      <c r="F248" s="12" t="s">
        <v>552</v>
      </c>
      <c r="G248" s="10">
        <v>13.6</v>
      </c>
      <c r="H248" s="8">
        <v>1</v>
      </c>
      <c r="I248" s="13">
        <v>1124.0999999999999</v>
      </c>
      <c r="J248" s="12" t="s">
        <v>50</v>
      </c>
      <c r="K248" s="8">
        <v>7101505202</v>
      </c>
      <c r="L248" s="8">
        <v>90042246254</v>
      </c>
      <c r="M248" s="12" t="s">
        <v>467</v>
      </c>
      <c r="N248" s="8" t="s">
        <v>468</v>
      </c>
      <c r="O248" s="11" t="str">
        <f t="shared" si="14"/>
        <v>58132890</v>
      </c>
      <c r="P248" s="11" t="str">
        <f t="shared" si="15"/>
        <v>58132890</v>
      </c>
      <c r="Q248" s="12" t="s">
        <v>1022</v>
      </c>
      <c r="R248" s="8">
        <v>2</v>
      </c>
      <c r="S248" s="8" t="s">
        <v>994</v>
      </c>
      <c r="T248" s="8" t="s">
        <v>79</v>
      </c>
      <c r="U248" s="28">
        <f>VLOOKUP($L248,Tabla1[#All],4,FALSE)</f>
        <v>20.041782999999999</v>
      </c>
      <c r="V248" s="28">
        <f>VLOOKUP($L248,Tabla1[#All],5,FALSE)</f>
        <v>-75.835746999999998</v>
      </c>
      <c r="W248" s="43" t="s">
        <v>1717</v>
      </c>
    </row>
    <row r="249" spans="2:23" ht="15.6" customHeight="1">
      <c r="B249" s="8">
        <v>2783</v>
      </c>
      <c r="C249" s="16" t="str">
        <f t="shared" si="12"/>
        <v>2783-3334</v>
      </c>
      <c r="D249" s="8">
        <v>24013334</v>
      </c>
      <c r="E249" s="8" t="str">
        <f t="shared" si="13"/>
        <v>2783 - 3334</v>
      </c>
      <c r="F249" s="12" t="s">
        <v>647</v>
      </c>
      <c r="G249" s="10">
        <v>25.5</v>
      </c>
      <c r="H249" s="8">
        <v>1</v>
      </c>
      <c r="I249" s="13">
        <v>1970.4</v>
      </c>
      <c r="J249" s="12" t="s">
        <v>50</v>
      </c>
      <c r="K249" s="8">
        <v>7101505202</v>
      </c>
      <c r="L249" s="8">
        <v>90081632507</v>
      </c>
      <c r="M249" s="12" t="s">
        <v>1106</v>
      </c>
      <c r="N249" s="8" t="s">
        <v>648</v>
      </c>
      <c r="O249" s="11" t="str">
        <f t="shared" si="14"/>
        <v>55172793</v>
      </c>
      <c r="P249" s="11" t="str">
        <f t="shared" si="15"/>
        <v>55172793</v>
      </c>
      <c r="Q249" s="12" t="s">
        <v>1074</v>
      </c>
      <c r="R249" s="8">
        <v>2</v>
      </c>
      <c r="S249" s="8" t="s">
        <v>1042</v>
      </c>
      <c r="T249" s="8" t="s">
        <v>211</v>
      </c>
      <c r="U249" s="28">
        <f>VLOOKUP($L249,Tabla1[#All],4,FALSE)</f>
        <v>22.507480999999999</v>
      </c>
      <c r="V249" s="28">
        <f>VLOOKUP($L249,Tabla1[#All],5,FALSE)</f>
        <v>-80.001389000000003</v>
      </c>
      <c r="W249" s="43" t="s">
        <v>1718</v>
      </c>
    </row>
    <row r="250" spans="2:23" ht="15.6" customHeight="1">
      <c r="B250" s="8">
        <v>2783</v>
      </c>
      <c r="C250" s="16" t="str">
        <f t="shared" si="12"/>
        <v>2783-3335</v>
      </c>
      <c r="D250" s="8">
        <v>24013335</v>
      </c>
      <c r="E250" s="8" t="str">
        <f t="shared" si="13"/>
        <v>2783 - 3335</v>
      </c>
      <c r="F250" s="12" t="s">
        <v>649</v>
      </c>
      <c r="G250" s="10">
        <v>15</v>
      </c>
      <c r="H250" s="8">
        <v>1</v>
      </c>
      <c r="I250" s="13">
        <v>1199.7</v>
      </c>
      <c r="J250" s="12" t="s">
        <v>50</v>
      </c>
      <c r="K250" s="8">
        <v>7101505202</v>
      </c>
      <c r="L250" s="8">
        <v>90081632507</v>
      </c>
      <c r="M250" s="12" t="s">
        <v>1106</v>
      </c>
      <c r="N250" s="8" t="s">
        <v>648</v>
      </c>
      <c r="O250" s="11" t="str">
        <f t="shared" si="14"/>
        <v>55172793</v>
      </c>
      <c r="P250" s="11" t="str">
        <f t="shared" si="15"/>
        <v>55172793</v>
      </c>
      <c r="Q250" s="12" t="s">
        <v>1074</v>
      </c>
      <c r="R250" s="8">
        <v>2</v>
      </c>
      <c r="S250" s="8" t="s">
        <v>1042</v>
      </c>
      <c r="T250" s="8" t="s">
        <v>211</v>
      </c>
      <c r="U250" s="28">
        <f>VLOOKUP($L250,Tabla1[#All],4,FALSE)</f>
        <v>22.507480999999999</v>
      </c>
      <c r="V250" s="28">
        <f>VLOOKUP($L250,Tabla1[#All],5,FALSE)</f>
        <v>-80.001389000000003</v>
      </c>
      <c r="W250" s="43" t="s">
        <v>1718</v>
      </c>
    </row>
    <row r="251" spans="2:23" ht="15.6" customHeight="1">
      <c r="B251" s="8">
        <v>2794</v>
      </c>
      <c r="C251" s="16" t="str">
        <f t="shared" si="12"/>
        <v>2794-3449</v>
      </c>
      <c r="D251" s="11">
        <v>24013449</v>
      </c>
      <c r="E251" s="8" t="str">
        <f t="shared" si="13"/>
        <v>2794 - 3449</v>
      </c>
      <c r="F251" s="12" t="s">
        <v>586</v>
      </c>
      <c r="G251" s="10">
        <v>13</v>
      </c>
      <c r="H251" s="8">
        <v>1</v>
      </c>
      <c r="I251" s="13">
        <v>897.3</v>
      </c>
      <c r="J251" s="12" t="s">
        <v>50</v>
      </c>
      <c r="K251" s="8">
        <v>7101505202</v>
      </c>
      <c r="L251" s="8">
        <v>91041348214</v>
      </c>
      <c r="M251" s="12" t="s">
        <v>328</v>
      </c>
      <c r="N251" s="8" t="s">
        <v>329</v>
      </c>
      <c r="O251" s="11" t="str">
        <f t="shared" si="14"/>
        <v>53917514</v>
      </c>
      <c r="P251" s="11" t="str">
        <f t="shared" si="15"/>
        <v>53917514</v>
      </c>
      <c r="Q251" s="12" t="s">
        <v>1023</v>
      </c>
      <c r="R251" s="8">
        <v>2</v>
      </c>
      <c r="S251" s="8" t="s">
        <v>995</v>
      </c>
      <c r="T251" s="8" t="s">
        <v>79</v>
      </c>
      <c r="U251" s="28">
        <f>VLOOKUP($L251,Tabla1[#All],4,FALSE)</f>
        <v>20.198181000000002</v>
      </c>
      <c r="V251" s="28">
        <f>VLOOKUP($L251,Tabla1[#All],5,FALSE)</f>
        <v>-75.984842999999998</v>
      </c>
      <c r="W251" s="43" t="s">
        <v>1717</v>
      </c>
    </row>
    <row r="252" spans="2:23" ht="15.6" customHeight="1">
      <c r="B252" s="8">
        <v>2864</v>
      </c>
      <c r="C252" s="16" t="str">
        <f t="shared" si="12"/>
        <v>2864-3619</v>
      </c>
      <c r="D252" s="8">
        <v>24013619</v>
      </c>
      <c r="E252" s="8" t="str">
        <f t="shared" si="13"/>
        <v>2864 - 3619</v>
      </c>
      <c r="F252" s="9" t="s">
        <v>33</v>
      </c>
      <c r="G252" s="10">
        <v>13.6</v>
      </c>
      <c r="H252" s="11">
        <v>1</v>
      </c>
      <c r="I252" s="13">
        <v>1124.0999999999999</v>
      </c>
      <c r="J252" s="12" t="s">
        <v>198</v>
      </c>
      <c r="K252" s="11">
        <v>71072105384</v>
      </c>
      <c r="L252" s="11">
        <v>91052722586</v>
      </c>
      <c r="M252" s="12" t="s">
        <v>199</v>
      </c>
      <c r="N252" s="8" t="s">
        <v>200</v>
      </c>
      <c r="O252" s="11" t="str">
        <f t="shared" si="14"/>
        <v>50867677</v>
      </c>
      <c r="P252" s="11" t="str">
        <f t="shared" si="15"/>
        <v>50867677</v>
      </c>
      <c r="Q252" s="12" t="s">
        <v>982</v>
      </c>
      <c r="R252" s="8">
        <v>2</v>
      </c>
      <c r="S252" s="8" t="s">
        <v>968</v>
      </c>
      <c r="T252" s="8" t="s">
        <v>202</v>
      </c>
      <c r="U252" s="28">
        <f>VLOOKUP($L252,Tabla1[#All],4,FALSE)</f>
        <v>22.589417000000001</v>
      </c>
      <c r="V252" s="28">
        <f>VLOOKUP($L252,Tabla1[#All],5,FALSE)</f>
        <v>-83.943645000000004</v>
      </c>
      <c r="W252" s="43" t="s">
        <v>1717</v>
      </c>
    </row>
    <row r="253" spans="2:23" ht="15.6" customHeight="1">
      <c r="B253" s="8">
        <v>2864</v>
      </c>
      <c r="C253" s="16" t="str">
        <f t="shared" si="12"/>
        <v>2864-3620</v>
      </c>
      <c r="D253" s="8">
        <v>24013620</v>
      </c>
      <c r="E253" s="8" t="str">
        <f t="shared" si="13"/>
        <v>2864 - 3620</v>
      </c>
      <c r="F253" s="9" t="s">
        <v>33</v>
      </c>
      <c r="G253" s="10">
        <v>12.8</v>
      </c>
      <c r="H253" s="11">
        <v>1</v>
      </c>
      <c r="I253" s="13">
        <v>1048.5</v>
      </c>
      <c r="J253" s="12" t="s">
        <v>198</v>
      </c>
      <c r="K253" s="11">
        <v>71072105384</v>
      </c>
      <c r="L253" s="11">
        <v>91052722586</v>
      </c>
      <c r="M253" s="12" t="s">
        <v>199</v>
      </c>
      <c r="N253" s="8" t="s">
        <v>200</v>
      </c>
      <c r="O253" s="11" t="str">
        <f t="shared" si="14"/>
        <v>50867677</v>
      </c>
      <c r="P253" s="11" t="str">
        <f t="shared" si="15"/>
        <v>50867677</v>
      </c>
      <c r="Q253" s="12" t="s">
        <v>982</v>
      </c>
      <c r="R253" s="8">
        <v>2</v>
      </c>
      <c r="S253" s="8" t="s">
        <v>968</v>
      </c>
      <c r="T253" s="8" t="s">
        <v>202</v>
      </c>
      <c r="U253" s="28">
        <f>VLOOKUP($L253,Tabla1[#All],4,FALSE)</f>
        <v>22.589417000000001</v>
      </c>
      <c r="V253" s="28">
        <f>VLOOKUP($L253,Tabla1[#All],5,FALSE)</f>
        <v>-83.943645000000004</v>
      </c>
      <c r="W253" s="43" t="s">
        <v>1717</v>
      </c>
    </row>
    <row r="254" spans="2:23" ht="15.6" customHeight="1">
      <c r="B254" s="8">
        <v>2794</v>
      </c>
      <c r="C254" s="16" t="str">
        <f t="shared" si="12"/>
        <v>2794-3555</v>
      </c>
      <c r="D254" s="11">
        <v>24013555</v>
      </c>
      <c r="E254" s="8" t="str">
        <f t="shared" si="13"/>
        <v>2794 - 3555</v>
      </c>
      <c r="F254" s="12" t="s">
        <v>520</v>
      </c>
      <c r="G254" s="10">
        <v>16.2</v>
      </c>
      <c r="H254" s="8">
        <v>1</v>
      </c>
      <c r="I254" s="13">
        <v>1502.1</v>
      </c>
      <c r="J254" s="12" t="s">
        <v>50</v>
      </c>
      <c r="K254" s="8">
        <v>7101505202</v>
      </c>
      <c r="L254" s="8">
        <v>91080442908</v>
      </c>
      <c r="M254" s="12" t="s">
        <v>521</v>
      </c>
      <c r="N254" s="8" t="s">
        <v>522</v>
      </c>
      <c r="O254" s="11" t="str">
        <f t="shared" si="14"/>
        <v>53082964</v>
      </c>
      <c r="P254" s="11" t="str">
        <f t="shared" si="15"/>
        <v>53082964</v>
      </c>
      <c r="Q254" s="12" t="s">
        <v>958</v>
      </c>
      <c r="R254" s="8">
        <v>2</v>
      </c>
      <c r="S254" s="8" t="s">
        <v>917</v>
      </c>
      <c r="T254" s="8" t="s">
        <v>69</v>
      </c>
      <c r="U254" s="28">
        <f>VLOOKUP($L254,Tabla1[#All],4,FALSE)</f>
        <v>20.828453</v>
      </c>
      <c r="V254" s="28">
        <f>VLOOKUP($L254,Tabla1[#All],5,FALSE)</f>
        <v>-75.837339</v>
      </c>
      <c r="W254" s="43" t="s">
        <v>1717</v>
      </c>
    </row>
    <row r="255" spans="2:23" ht="15.6" customHeight="1">
      <c r="B255" s="8">
        <v>2794</v>
      </c>
      <c r="C255" s="16" t="str">
        <f t="shared" si="12"/>
        <v>2794-3423</v>
      </c>
      <c r="D255" s="11">
        <v>24013423</v>
      </c>
      <c r="E255" s="8" t="str">
        <f t="shared" si="13"/>
        <v>2794 - 3423</v>
      </c>
      <c r="F255" s="12" t="s">
        <v>273</v>
      </c>
      <c r="G255" s="10">
        <v>15.1</v>
      </c>
      <c r="H255" s="8">
        <v>1</v>
      </c>
      <c r="I255" s="13">
        <v>1199.7</v>
      </c>
      <c r="J255" s="12" t="s">
        <v>50</v>
      </c>
      <c r="K255" s="8">
        <v>7101505202</v>
      </c>
      <c r="L255" s="8">
        <v>91110747216</v>
      </c>
      <c r="M255" s="12" t="s">
        <v>274</v>
      </c>
      <c r="N255" s="8" t="s">
        <v>275</v>
      </c>
      <c r="O255" s="11" t="str">
        <f t="shared" si="14"/>
        <v>58250306</v>
      </c>
      <c r="P255" s="11" t="str">
        <f t="shared" si="15"/>
        <v>58250306</v>
      </c>
      <c r="Q255" s="12" t="s">
        <v>1030</v>
      </c>
      <c r="R255" s="8">
        <v>2</v>
      </c>
      <c r="S255" s="8" t="s">
        <v>994</v>
      </c>
      <c r="T255" s="8" t="s">
        <v>79</v>
      </c>
      <c r="U255" s="28">
        <f>VLOOKUP($L255,Tabla1[#All],4,FALSE)</f>
        <v>20.024868999999999</v>
      </c>
      <c r="V255" s="28">
        <f>VLOOKUP($L255,Tabla1[#All],5,FALSE)</f>
        <v>-75.816368999999995</v>
      </c>
      <c r="W255" s="43" t="s">
        <v>1717</v>
      </c>
    </row>
    <row r="256" spans="2:23" ht="15.6" customHeight="1">
      <c r="B256" s="8">
        <v>2794</v>
      </c>
      <c r="C256" s="16" t="str">
        <f t="shared" si="12"/>
        <v>2794-3424</v>
      </c>
      <c r="D256" s="11">
        <v>24013424</v>
      </c>
      <c r="E256" s="8" t="str">
        <f t="shared" si="13"/>
        <v>2794 - 3424</v>
      </c>
      <c r="F256" s="12" t="s">
        <v>276</v>
      </c>
      <c r="G256" s="10">
        <v>11.8</v>
      </c>
      <c r="H256" s="8">
        <v>1</v>
      </c>
      <c r="I256" s="13">
        <v>746.1</v>
      </c>
      <c r="J256" s="12" t="s">
        <v>50</v>
      </c>
      <c r="K256" s="8">
        <v>7101505202</v>
      </c>
      <c r="L256" s="8">
        <v>91110747217</v>
      </c>
      <c r="M256" s="12" t="s">
        <v>274</v>
      </c>
      <c r="N256" s="8" t="s">
        <v>275</v>
      </c>
      <c r="O256" s="11" t="str">
        <f t="shared" si="14"/>
        <v>58250306</v>
      </c>
      <c r="P256" s="11" t="str">
        <f t="shared" si="15"/>
        <v>58250306</v>
      </c>
      <c r="Q256" s="12" t="s">
        <v>1030</v>
      </c>
      <c r="R256" s="8">
        <v>2</v>
      </c>
      <c r="S256" s="8" t="s">
        <v>994</v>
      </c>
      <c r="T256" s="8" t="s">
        <v>79</v>
      </c>
      <c r="U256" s="28">
        <f>VLOOKUP($L256,Tabla1[#All],4,FALSE)</f>
        <v>20.024868999999999</v>
      </c>
      <c r="V256" s="28">
        <f>VLOOKUP($L256,Tabla1[#All],5,FALSE)</f>
        <v>-75.816368999999995</v>
      </c>
      <c r="W256" s="43" t="s">
        <v>1717</v>
      </c>
    </row>
    <row r="257" spans="2:23" ht="15.6" customHeight="1">
      <c r="B257" s="8">
        <v>2783</v>
      </c>
      <c r="C257" s="16" t="str">
        <f t="shared" si="12"/>
        <v>2783-3325</v>
      </c>
      <c r="D257" s="8">
        <v>24013325</v>
      </c>
      <c r="E257" s="8" t="str">
        <f t="shared" si="13"/>
        <v>2783 - 3325</v>
      </c>
      <c r="F257" s="12" t="s">
        <v>634</v>
      </c>
      <c r="G257" s="10">
        <v>20.5</v>
      </c>
      <c r="H257" s="8">
        <v>1</v>
      </c>
      <c r="I257" s="13">
        <v>1577.7</v>
      </c>
      <c r="J257" s="12" t="s">
        <v>50</v>
      </c>
      <c r="K257" s="8">
        <v>7101505202</v>
      </c>
      <c r="L257" s="8">
        <v>91110844254</v>
      </c>
      <c r="M257" s="12" t="s">
        <v>635</v>
      </c>
      <c r="N257" s="8" t="s">
        <v>636</v>
      </c>
      <c r="O257" s="11" t="str">
        <f t="shared" si="14"/>
        <v>58024034</v>
      </c>
      <c r="P257" s="11" t="str">
        <f t="shared" si="15"/>
        <v>58024034</v>
      </c>
      <c r="Q257" s="12" t="s">
        <v>929</v>
      </c>
      <c r="R257" s="8">
        <v>2</v>
      </c>
      <c r="S257" s="8" t="s">
        <v>914</v>
      </c>
      <c r="T257" s="8" t="s">
        <v>69</v>
      </c>
      <c r="U257" s="28">
        <f>VLOOKUP($L257,Tabla1[#All],4,FALSE)</f>
        <v>20.657727999999999</v>
      </c>
      <c r="V257" s="28">
        <f>VLOOKUP($L257,Tabla1[#All],5,FALSE)</f>
        <v>-74.945575000000005</v>
      </c>
      <c r="W257" s="43" t="s">
        <v>1717</v>
      </c>
    </row>
    <row r="258" spans="2:23" ht="15.6" customHeight="1">
      <c r="B258" s="8">
        <v>2783</v>
      </c>
      <c r="C258" s="16" t="str">
        <f t="shared" si="12"/>
        <v>2783-3326</v>
      </c>
      <c r="D258" s="8">
        <v>24013326</v>
      </c>
      <c r="E258" s="8" t="str">
        <f t="shared" si="13"/>
        <v>2783 - 3326</v>
      </c>
      <c r="F258" s="12" t="s">
        <v>637</v>
      </c>
      <c r="G258" s="10">
        <v>12.1</v>
      </c>
      <c r="H258" s="8">
        <v>1</v>
      </c>
      <c r="I258" s="13">
        <v>1124.0999999999999</v>
      </c>
      <c r="J258" s="12" t="s">
        <v>50</v>
      </c>
      <c r="K258" s="8">
        <v>7101505202</v>
      </c>
      <c r="L258" s="8">
        <v>91110844254</v>
      </c>
      <c r="M258" s="12" t="s">
        <v>635</v>
      </c>
      <c r="N258" s="8" t="s">
        <v>636</v>
      </c>
      <c r="O258" s="11" t="str">
        <f t="shared" si="14"/>
        <v>58024034</v>
      </c>
      <c r="P258" s="11" t="str">
        <f t="shared" si="15"/>
        <v>58024034</v>
      </c>
      <c r="Q258" s="12" t="s">
        <v>929</v>
      </c>
      <c r="R258" s="8">
        <v>2</v>
      </c>
      <c r="S258" s="8" t="s">
        <v>914</v>
      </c>
      <c r="T258" s="8" t="s">
        <v>69</v>
      </c>
      <c r="U258" s="28">
        <f>VLOOKUP($L258,Tabla1[#All],4,FALSE)</f>
        <v>20.657727999999999</v>
      </c>
      <c r="V258" s="28">
        <f>VLOOKUP($L258,Tabla1[#All],5,FALSE)</f>
        <v>-74.945575000000005</v>
      </c>
      <c r="W258" s="43" t="s">
        <v>1717</v>
      </c>
    </row>
    <row r="259" spans="2:23" ht="15.6" customHeight="1">
      <c r="B259" s="8">
        <v>2864</v>
      </c>
      <c r="C259" s="16" t="str">
        <f t="shared" ref="C259:C322" si="16">CONCATENATE(B259,"-",RIGHT(D259,4))</f>
        <v>2864-3653</v>
      </c>
      <c r="D259" s="8">
        <v>24013653</v>
      </c>
      <c r="E259" s="8" t="str">
        <f t="shared" ref="E259:E322" si="17">CONCATENATE(B259," - ",RIGHT(D259,4))</f>
        <v>2864 - 3653</v>
      </c>
      <c r="F259" s="9" t="s">
        <v>95</v>
      </c>
      <c r="G259" s="10">
        <v>30.5</v>
      </c>
      <c r="H259" s="11">
        <v>1</v>
      </c>
      <c r="I259" s="13">
        <v>2461.8000000000002</v>
      </c>
      <c r="J259" s="12" t="s">
        <v>96</v>
      </c>
      <c r="K259" s="11">
        <v>65082578945</v>
      </c>
      <c r="L259" s="11">
        <v>91113042453</v>
      </c>
      <c r="M259" s="12" t="s">
        <v>97</v>
      </c>
      <c r="N259" s="8" t="s">
        <v>98</v>
      </c>
      <c r="O259" s="11" t="str">
        <f t="shared" ref="O259:O322" si="18">LEFT(N259,8)</f>
        <v>53481911</v>
      </c>
      <c r="P259" s="11" t="str">
        <f t="shared" ref="P259:P308" si="19">RIGHT(N259,8)</f>
        <v>53481911</v>
      </c>
      <c r="Q259" s="12" t="s">
        <v>963</v>
      </c>
      <c r="R259" s="8">
        <v>2</v>
      </c>
      <c r="S259" s="8" t="s">
        <v>912</v>
      </c>
      <c r="T259" s="8" t="s">
        <v>69</v>
      </c>
      <c r="U259" s="28">
        <f>VLOOKUP($L259,Tabla1[#All],4,FALSE)</f>
        <v>20.873954999999999</v>
      </c>
      <c r="V259" s="28">
        <f>VLOOKUP($L259,Tabla1[#All],5,FALSE)</f>
        <v>-76.241944000000004</v>
      </c>
      <c r="W259" s="43" t="s">
        <v>1717</v>
      </c>
    </row>
    <row r="260" spans="2:23" ht="15.6" customHeight="1">
      <c r="B260" s="8">
        <v>2794</v>
      </c>
      <c r="C260" s="16" t="str">
        <f t="shared" si="16"/>
        <v>2794-3520</v>
      </c>
      <c r="D260" s="11">
        <v>24013520</v>
      </c>
      <c r="E260" s="8" t="str">
        <f t="shared" si="17"/>
        <v>2794 - 3520</v>
      </c>
      <c r="F260" s="12" t="s">
        <v>446</v>
      </c>
      <c r="G260" s="33">
        <v>16</v>
      </c>
      <c r="H260" s="8">
        <v>1</v>
      </c>
      <c r="I260" s="13">
        <v>1275.3</v>
      </c>
      <c r="J260" s="12" t="s">
        <v>50</v>
      </c>
      <c r="K260" s="8">
        <v>7101505202</v>
      </c>
      <c r="L260" s="8">
        <v>92021428572</v>
      </c>
      <c r="M260" s="12" t="s">
        <v>462</v>
      </c>
      <c r="N260" s="8" t="s">
        <v>463</v>
      </c>
      <c r="O260" s="11" t="str">
        <f t="shared" si="18"/>
        <v>54749128</v>
      </c>
      <c r="P260" s="11" t="str">
        <f t="shared" si="19"/>
        <v>54749128</v>
      </c>
      <c r="Q260" s="12" t="s">
        <v>886</v>
      </c>
      <c r="R260" s="8">
        <v>2</v>
      </c>
      <c r="S260" s="8" t="s">
        <v>838</v>
      </c>
      <c r="T260" s="8" t="s">
        <v>104</v>
      </c>
      <c r="U260" s="28">
        <f>VLOOKUP($L260,Tabla1[#All],4,FALSE)</f>
        <v>23.104150000000001</v>
      </c>
      <c r="V260" s="28">
        <f>VLOOKUP($L260,Tabla1[#All],5,FALSE)</f>
        <v>-82.349479000000002</v>
      </c>
      <c r="W260" s="43" t="s">
        <v>1717</v>
      </c>
    </row>
    <row r="261" spans="2:23" ht="15.6" customHeight="1">
      <c r="B261" s="8">
        <v>2864</v>
      </c>
      <c r="C261" s="16" t="str">
        <f t="shared" si="16"/>
        <v>2864-3629</v>
      </c>
      <c r="D261" s="8">
        <v>24013629</v>
      </c>
      <c r="E261" s="8" t="str">
        <f t="shared" si="17"/>
        <v>2864 - 3629</v>
      </c>
      <c r="F261" s="9" t="s">
        <v>119</v>
      </c>
      <c r="G261" s="33">
        <v>21.4</v>
      </c>
      <c r="H261" s="11">
        <v>1</v>
      </c>
      <c r="I261" s="13">
        <v>821.7</v>
      </c>
      <c r="J261" s="12" t="s">
        <v>120</v>
      </c>
      <c r="K261" s="11">
        <v>71072105384</v>
      </c>
      <c r="L261" s="11">
        <v>92032528343</v>
      </c>
      <c r="M261" s="12" t="s">
        <v>121</v>
      </c>
      <c r="N261" s="8" t="s">
        <v>122</v>
      </c>
      <c r="O261" s="11" t="str">
        <f t="shared" si="18"/>
        <v>50241960</v>
      </c>
      <c r="P261" s="11" t="str">
        <f t="shared" si="19"/>
        <v>50241960</v>
      </c>
      <c r="Q261" s="12" t="s">
        <v>900</v>
      </c>
      <c r="R261" s="8">
        <v>2</v>
      </c>
      <c r="S261" s="8" t="s">
        <v>838</v>
      </c>
      <c r="T261" s="8" t="s">
        <v>104</v>
      </c>
      <c r="U261" s="28">
        <f>VLOOKUP($L261,Tabla1[#All],4,FALSE)</f>
        <v>23.093257999999999</v>
      </c>
      <c r="V261" s="28">
        <f>VLOOKUP($L261,Tabla1[#All],5,FALSE)</f>
        <v>-82.363453000000007</v>
      </c>
      <c r="W261" s="43" t="s">
        <v>1717</v>
      </c>
    </row>
    <row r="262" spans="2:23" ht="15.6" customHeight="1">
      <c r="B262" s="8">
        <v>2783</v>
      </c>
      <c r="C262" s="16" t="str">
        <f t="shared" si="16"/>
        <v>2783-3421</v>
      </c>
      <c r="D262" s="8">
        <v>24013421</v>
      </c>
      <c r="E262" s="8" t="str">
        <f t="shared" si="17"/>
        <v>2783 - 3421</v>
      </c>
      <c r="F262" s="12" t="s">
        <v>790</v>
      </c>
      <c r="G262" s="10">
        <v>10.86</v>
      </c>
      <c r="H262" s="8">
        <v>1</v>
      </c>
      <c r="I262" s="13">
        <v>897.3</v>
      </c>
      <c r="J262" s="12" t="s">
        <v>825</v>
      </c>
      <c r="K262" s="8">
        <v>70031598704</v>
      </c>
      <c r="L262" s="8">
        <v>92071646277</v>
      </c>
      <c r="M262" s="12" t="s">
        <v>826</v>
      </c>
      <c r="N262" s="8" t="s">
        <v>827</v>
      </c>
      <c r="O262" s="11" t="str">
        <f t="shared" si="18"/>
        <v>58579920</v>
      </c>
      <c r="P262" s="11" t="str">
        <f t="shared" si="19"/>
        <v>58579920</v>
      </c>
      <c r="Q262" s="12" t="s">
        <v>945</v>
      </c>
      <c r="R262" s="8">
        <v>2</v>
      </c>
      <c r="S262" s="8" t="s">
        <v>915</v>
      </c>
      <c r="T262" s="8" t="s">
        <v>931</v>
      </c>
      <c r="U262" s="28">
        <f>VLOOKUP($L262,Tabla1[#All],4,FALSE)</f>
        <v>20.382175</v>
      </c>
      <c r="V262" s="28">
        <f>VLOOKUP($L262,Tabla1[#All],5,FALSE)</f>
        <v>-76.637478999999999</v>
      </c>
      <c r="W262" s="43" t="s">
        <v>1717</v>
      </c>
    </row>
    <row r="263" spans="2:23" ht="15.6" customHeight="1">
      <c r="B263" s="8">
        <v>2794</v>
      </c>
      <c r="C263" s="16" t="str">
        <f t="shared" si="16"/>
        <v>2794-3551</v>
      </c>
      <c r="D263" s="11">
        <v>24013551</v>
      </c>
      <c r="E263" s="8" t="str">
        <f t="shared" si="17"/>
        <v>2794 - 3551</v>
      </c>
      <c r="F263" s="12" t="s">
        <v>514</v>
      </c>
      <c r="G263" s="10">
        <v>15</v>
      </c>
      <c r="H263" s="8">
        <v>1</v>
      </c>
      <c r="I263" s="13">
        <v>1199.7</v>
      </c>
      <c r="J263" s="12" t="s">
        <v>50</v>
      </c>
      <c r="K263" s="8">
        <v>7101505202</v>
      </c>
      <c r="L263" s="8">
        <v>93011921860</v>
      </c>
      <c r="M263" s="12" t="s">
        <v>515</v>
      </c>
      <c r="N263" s="8" t="s">
        <v>516</v>
      </c>
      <c r="O263" s="11" t="str">
        <f t="shared" si="18"/>
        <v>55683157</v>
      </c>
      <c r="P263" s="11" t="str">
        <f t="shared" si="19"/>
        <v>55683157</v>
      </c>
      <c r="Q263" s="12" t="s">
        <v>1686</v>
      </c>
      <c r="R263" s="8">
        <v>2</v>
      </c>
      <c r="S263" s="8" t="s">
        <v>912</v>
      </c>
      <c r="T263" s="8" t="s">
        <v>69</v>
      </c>
      <c r="U263" s="28">
        <f>VLOOKUP($L263,Tabla1[#All],4,FALSE)</f>
        <v>20.882719999999999</v>
      </c>
      <c r="V263" s="28">
        <f>VLOOKUP($L263,Tabla1[#All],5,FALSE)</f>
        <v>-76.241245000000006</v>
      </c>
      <c r="W263" s="43" t="s">
        <v>1717</v>
      </c>
    </row>
    <row r="264" spans="2:23" ht="15.6" customHeight="1">
      <c r="B264" s="8">
        <v>2794</v>
      </c>
      <c r="C264" s="16" t="str">
        <f t="shared" si="16"/>
        <v>2794-3515</v>
      </c>
      <c r="D264" s="11">
        <v>24013515</v>
      </c>
      <c r="E264" s="8" t="str">
        <f t="shared" si="17"/>
        <v>2794 - 3515</v>
      </c>
      <c r="F264" s="12" t="s">
        <v>556</v>
      </c>
      <c r="G264" s="10">
        <v>12.5</v>
      </c>
      <c r="H264" s="8">
        <v>1</v>
      </c>
      <c r="I264" s="13">
        <v>1048.5</v>
      </c>
      <c r="J264" s="12" t="s">
        <v>50</v>
      </c>
      <c r="K264" s="8">
        <v>7101505202</v>
      </c>
      <c r="L264" s="8">
        <v>93032924289</v>
      </c>
      <c r="M264" s="12" t="s">
        <v>451</v>
      </c>
      <c r="N264" s="8" t="s">
        <v>452</v>
      </c>
      <c r="O264" s="11" t="str">
        <f t="shared" si="18"/>
        <v>63791486</v>
      </c>
      <c r="P264" s="11" t="str">
        <f t="shared" si="19"/>
        <v>63791486</v>
      </c>
      <c r="Q264" s="12" t="s">
        <v>1203</v>
      </c>
      <c r="R264" s="8">
        <v>2</v>
      </c>
      <c r="S264" s="8" t="s">
        <v>867</v>
      </c>
      <c r="T264" s="8" t="s">
        <v>358</v>
      </c>
      <c r="U264" s="28">
        <f>VLOOKUP($L264,Tabla1[#All],4,FALSE)</f>
        <v>21.393422000000001</v>
      </c>
      <c r="V264" s="28">
        <f>VLOOKUP($L264,Tabla1[#All],5,FALSE)</f>
        <v>-77.912655000000001</v>
      </c>
      <c r="W264" s="43" t="s">
        <v>1719</v>
      </c>
    </row>
    <row r="265" spans="2:23" ht="15.6" customHeight="1">
      <c r="B265" s="8">
        <v>2794</v>
      </c>
      <c r="C265" s="16" t="str">
        <f t="shared" si="16"/>
        <v>2794-3467</v>
      </c>
      <c r="D265" s="11">
        <v>24013467</v>
      </c>
      <c r="E265" s="8" t="str">
        <f t="shared" si="17"/>
        <v>2794 - 3467</v>
      </c>
      <c r="F265" s="12" t="s">
        <v>580</v>
      </c>
      <c r="G265" s="46">
        <v>10.9</v>
      </c>
      <c r="H265" s="8">
        <v>1</v>
      </c>
      <c r="I265" s="13">
        <v>897.3</v>
      </c>
      <c r="J265" s="12" t="s">
        <v>50</v>
      </c>
      <c r="K265" s="8">
        <v>7101505202</v>
      </c>
      <c r="L265" s="8">
        <v>93070919074</v>
      </c>
      <c r="M265" s="12" t="s">
        <v>364</v>
      </c>
      <c r="N265" s="8" t="s">
        <v>365</v>
      </c>
      <c r="O265" s="11" t="str">
        <f t="shared" si="18"/>
        <v>59459783</v>
      </c>
      <c r="P265" s="11" t="str">
        <f t="shared" si="19"/>
        <v>59459783</v>
      </c>
      <c r="Q265" s="12" t="s">
        <v>1095</v>
      </c>
      <c r="R265" s="8">
        <v>2</v>
      </c>
      <c r="S265" s="8" t="s">
        <v>1084</v>
      </c>
      <c r="T265" s="8" t="s">
        <v>185</v>
      </c>
      <c r="U265" s="28">
        <f>VLOOKUP($L265,Tabla1[#All],4,FALSE)</f>
        <v>23.053314</v>
      </c>
      <c r="V265" s="28">
        <f>VLOOKUP($L265,Tabla1[#All],5,FALSE)</f>
        <v>-81.587546000000003</v>
      </c>
      <c r="W265" s="43" t="s">
        <v>1717</v>
      </c>
    </row>
    <row r="266" spans="2:23" ht="15.6" customHeight="1">
      <c r="B266" s="8">
        <v>2794</v>
      </c>
      <c r="C266" s="16" t="str">
        <f t="shared" si="16"/>
        <v>2794-3468</v>
      </c>
      <c r="D266" s="11">
        <v>24013468</v>
      </c>
      <c r="E266" s="8" t="str">
        <f t="shared" si="17"/>
        <v>2794 - 3468</v>
      </c>
      <c r="F266" s="12" t="s">
        <v>366</v>
      </c>
      <c r="G266" s="46">
        <v>10.5</v>
      </c>
      <c r="H266" s="8">
        <v>1</v>
      </c>
      <c r="I266" s="13">
        <v>897.3</v>
      </c>
      <c r="J266" s="12" t="s">
        <v>50</v>
      </c>
      <c r="K266" s="8">
        <v>7101505202</v>
      </c>
      <c r="L266" s="8">
        <v>93070919074</v>
      </c>
      <c r="M266" s="12" t="s">
        <v>364</v>
      </c>
      <c r="N266" s="8" t="s">
        <v>365</v>
      </c>
      <c r="O266" s="11" t="str">
        <f t="shared" si="18"/>
        <v>59459783</v>
      </c>
      <c r="P266" s="11" t="str">
        <f t="shared" si="19"/>
        <v>59459783</v>
      </c>
      <c r="Q266" s="12" t="s">
        <v>1095</v>
      </c>
      <c r="R266" s="8">
        <v>2</v>
      </c>
      <c r="S266" s="8" t="s">
        <v>1084</v>
      </c>
      <c r="T266" s="8" t="s">
        <v>185</v>
      </c>
      <c r="U266" s="28">
        <f>VLOOKUP($L266,Tabla1[#All],4,FALSE)</f>
        <v>23.053314</v>
      </c>
      <c r="V266" s="28">
        <f>VLOOKUP($L266,Tabla1[#All],5,FALSE)</f>
        <v>-81.587546000000003</v>
      </c>
      <c r="W266" s="43" t="s">
        <v>1717</v>
      </c>
    </row>
    <row r="267" spans="2:23" ht="15.6" customHeight="1">
      <c r="B267" s="8">
        <v>2783</v>
      </c>
      <c r="C267" s="16" t="str">
        <f t="shared" si="16"/>
        <v>2783-3358</v>
      </c>
      <c r="D267" s="8">
        <v>24013358</v>
      </c>
      <c r="E267" s="8" t="str">
        <f t="shared" si="17"/>
        <v>2783 - 3358</v>
      </c>
      <c r="F267" s="12" t="s">
        <v>832</v>
      </c>
      <c r="G267" s="10">
        <v>15</v>
      </c>
      <c r="H267" s="8">
        <v>1</v>
      </c>
      <c r="I267" s="13">
        <v>1199.7</v>
      </c>
      <c r="J267" s="12" t="s">
        <v>50</v>
      </c>
      <c r="K267" s="8">
        <v>7101505202</v>
      </c>
      <c r="L267" s="8">
        <v>93082419072</v>
      </c>
      <c r="M267" s="12" t="s">
        <v>703</v>
      </c>
      <c r="N267" s="8" t="s">
        <v>704</v>
      </c>
      <c r="O267" s="11" t="str">
        <f t="shared" si="18"/>
        <v>58825589</v>
      </c>
      <c r="P267" s="11" t="str">
        <f t="shared" si="19"/>
        <v>58825589</v>
      </c>
      <c r="Q267" s="12" t="s">
        <v>933</v>
      </c>
      <c r="R267" s="8">
        <v>2</v>
      </c>
      <c r="S267" s="8" t="s">
        <v>916</v>
      </c>
      <c r="T267" s="8" t="s">
        <v>69</v>
      </c>
      <c r="U267" s="28">
        <f>VLOOKUP($L267,Tabla1[#All],4,FALSE)</f>
        <v>20.863493999999999</v>
      </c>
      <c r="V267" s="28">
        <f>VLOOKUP($L267,Tabla1[#All],5,FALSE)</f>
        <v>-76.639484999999993</v>
      </c>
      <c r="W267" s="43" t="s">
        <v>1717</v>
      </c>
    </row>
    <row r="268" spans="2:23" ht="15.6" customHeight="1">
      <c r="B268" s="8">
        <v>2783</v>
      </c>
      <c r="C268" s="16" t="str">
        <f t="shared" si="16"/>
        <v>2783-3380</v>
      </c>
      <c r="D268" s="8">
        <v>24013380</v>
      </c>
      <c r="E268" s="8" t="str">
        <f t="shared" si="17"/>
        <v>2783 - 3380</v>
      </c>
      <c r="F268" s="12" t="s">
        <v>762</v>
      </c>
      <c r="G268" s="33">
        <v>24.3</v>
      </c>
      <c r="H268" s="8">
        <v>1</v>
      </c>
      <c r="I268" s="13">
        <v>2008.2</v>
      </c>
      <c r="J268" s="12" t="s">
        <v>50</v>
      </c>
      <c r="K268" s="8">
        <v>7101505202</v>
      </c>
      <c r="L268" s="8">
        <v>93090631612</v>
      </c>
      <c r="M268" s="12" t="s">
        <v>763</v>
      </c>
      <c r="N268" s="8" t="s">
        <v>764</v>
      </c>
      <c r="O268" s="11" t="str">
        <f t="shared" si="18"/>
        <v>78733137</v>
      </c>
      <c r="P268" s="11" t="str">
        <f t="shared" si="19"/>
        <v>78733137</v>
      </c>
      <c r="Q268" s="12" t="s">
        <v>879</v>
      </c>
      <c r="R268" s="8">
        <v>2</v>
      </c>
      <c r="S268" s="8" t="s">
        <v>842</v>
      </c>
      <c r="T268" s="8" t="s">
        <v>104</v>
      </c>
      <c r="U268" s="28">
        <f>VLOOKUP($L268,Tabla1[#All],4,FALSE)</f>
        <v>23.133023000000001</v>
      </c>
      <c r="V268" s="28">
        <f>VLOOKUP($L268,Tabla1[#All],5,FALSE)</f>
        <v>-82.370863999999997</v>
      </c>
      <c r="W268" s="43" t="s">
        <v>1717</v>
      </c>
    </row>
    <row r="269" spans="2:23" ht="15.6" customHeight="1">
      <c r="B269" s="8">
        <v>2794</v>
      </c>
      <c r="C269" s="16" t="str">
        <f t="shared" si="16"/>
        <v>2794-3525</v>
      </c>
      <c r="D269" s="11">
        <v>24013525</v>
      </c>
      <c r="E269" s="8" t="str">
        <f t="shared" si="17"/>
        <v>2794 - 3525</v>
      </c>
      <c r="F269" s="12" t="s">
        <v>559</v>
      </c>
      <c r="G269" s="33">
        <v>11.9</v>
      </c>
      <c r="H269" s="8">
        <v>1</v>
      </c>
      <c r="I269" s="13">
        <v>972.9</v>
      </c>
      <c r="J269" s="12" t="s">
        <v>50</v>
      </c>
      <c r="K269" s="8">
        <v>7101505202</v>
      </c>
      <c r="L269" s="8">
        <v>93120422426</v>
      </c>
      <c r="M269" s="12" t="s">
        <v>472</v>
      </c>
      <c r="N269" s="8" t="s">
        <v>473</v>
      </c>
      <c r="O269" s="11" t="str">
        <f t="shared" si="18"/>
        <v>54236425</v>
      </c>
      <c r="P269" s="11" t="str">
        <f t="shared" si="19"/>
        <v>54236425</v>
      </c>
      <c r="Q269" s="12" t="s">
        <v>881</v>
      </c>
      <c r="R269" s="8">
        <v>2</v>
      </c>
      <c r="S269" s="8" t="s">
        <v>842</v>
      </c>
      <c r="T269" s="8" t="s">
        <v>104</v>
      </c>
      <c r="U269" s="28">
        <f>VLOOKUP($L269,Tabla1[#All],4,FALSE)</f>
        <v>23.134616999999999</v>
      </c>
      <c r="V269" s="28">
        <f>VLOOKUP($L269,Tabla1[#All],5,FALSE)</f>
        <v>-82.371081000000004</v>
      </c>
      <c r="W269" s="43" t="s">
        <v>1717</v>
      </c>
    </row>
    <row r="270" spans="2:23" ht="15.6" customHeight="1">
      <c r="B270" s="8">
        <v>2794</v>
      </c>
      <c r="C270" s="16" t="str">
        <f t="shared" si="16"/>
        <v>2794-3514</v>
      </c>
      <c r="D270" s="11">
        <v>24013514</v>
      </c>
      <c r="E270" s="8" t="str">
        <f t="shared" si="17"/>
        <v>2794 - 3514</v>
      </c>
      <c r="F270" s="12" t="s">
        <v>555</v>
      </c>
      <c r="G270" s="10">
        <v>11.3</v>
      </c>
      <c r="H270" s="8">
        <v>1</v>
      </c>
      <c r="I270" s="13">
        <v>897.3</v>
      </c>
      <c r="J270" s="12" t="s">
        <v>50</v>
      </c>
      <c r="K270" s="8">
        <v>7101505202</v>
      </c>
      <c r="L270" s="8">
        <v>94031947351</v>
      </c>
      <c r="M270" s="12" t="s">
        <v>449</v>
      </c>
      <c r="N270" s="8" t="s">
        <v>450</v>
      </c>
      <c r="O270" s="11" t="str">
        <f t="shared" si="18"/>
        <v>54724893</v>
      </c>
      <c r="P270" s="11" t="str">
        <f t="shared" si="19"/>
        <v>54724893</v>
      </c>
      <c r="Q270" s="12" t="s">
        <v>1055</v>
      </c>
      <c r="R270" s="8">
        <v>2</v>
      </c>
      <c r="S270" s="8" t="s">
        <v>1044</v>
      </c>
      <c r="T270" s="8" t="s">
        <v>211</v>
      </c>
      <c r="U270" s="28">
        <f>VLOOKUP($L270,Tabla1[#All],4,FALSE)</f>
        <v>22.808312000000001</v>
      </c>
      <c r="V270" s="28">
        <f>VLOOKUP($L270,Tabla1[#All],5,FALSE)</f>
        <v>-80.080389999999994</v>
      </c>
      <c r="W270" s="43" t="s">
        <v>1718</v>
      </c>
    </row>
    <row r="271" spans="2:23" ht="15.6" customHeight="1">
      <c r="B271" s="8">
        <v>2783</v>
      </c>
      <c r="C271" s="16" t="str">
        <f t="shared" si="16"/>
        <v>2783-3368</v>
      </c>
      <c r="D271" s="8">
        <v>24013368</v>
      </c>
      <c r="E271" s="8" t="str">
        <f t="shared" si="17"/>
        <v>2783 - 3368</v>
      </c>
      <c r="F271" s="12" t="s">
        <v>732</v>
      </c>
      <c r="G271" s="10">
        <v>9.5</v>
      </c>
      <c r="H271" s="8">
        <v>1</v>
      </c>
      <c r="I271" s="13">
        <v>746.1</v>
      </c>
      <c r="J271" s="12" t="s">
        <v>50</v>
      </c>
      <c r="K271" s="8">
        <v>7101505202</v>
      </c>
      <c r="L271" s="8">
        <v>94043034999</v>
      </c>
      <c r="M271" s="12" t="s">
        <v>733</v>
      </c>
      <c r="N271" s="8" t="s">
        <v>734</v>
      </c>
      <c r="O271" s="11" t="str">
        <f t="shared" si="18"/>
        <v>58511358</v>
      </c>
      <c r="P271" s="11" t="str">
        <f t="shared" si="19"/>
        <v>58511358</v>
      </c>
      <c r="Q271" s="12" t="s">
        <v>1054</v>
      </c>
      <c r="R271" s="8">
        <v>2</v>
      </c>
      <c r="S271" s="8" t="s">
        <v>1044</v>
      </c>
      <c r="T271" s="8" t="s">
        <v>211</v>
      </c>
      <c r="U271" s="28">
        <f>VLOOKUP($L271,Tabla1[#All],4,FALSE)</f>
        <v>22.797062</v>
      </c>
      <c r="V271" s="28">
        <f>VLOOKUP($L271,Tabla1[#All],5,FALSE)</f>
        <v>-80.073857000000004</v>
      </c>
      <c r="W271" s="43" t="s">
        <v>1718</v>
      </c>
    </row>
    <row r="272" spans="2:23" ht="15.6" customHeight="1">
      <c r="B272" s="8">
        <v>2794</v>
      </c>
      <c r="C272" s="16" t="str">
        <f t="shared" si="16"/>
        <v>2794-3460</v>
      </c>
      <c r="D272" s="11">
        <v>24013460</v>
      </c>
      <c r="E272" s="8" t="str">
        <f t="shared" si="17"/>
        <v>2794 - 3460</v>
      </c>
      <c r="F272" s="12" t="s">
        <v>584</v>
      </c>
      <c r="G272" s="10">
        <v>24</v>
      </c>
      <c r="H272" s="8">
        <v>1</v>
      </c>
      <c r="I272" s="13">
        <v>1932.6</v>
      </c>
      <c r="J272" s="12" t="s">
        <v>50</v>
      </c>
      <c r="K272" s="8">
        <v>7101505202</v>
      </c>
      <c r="L272" s="8">
        <v>94092049072</v>
      </c>
      <c r="M272" s="12" t="s">
        <v>348</v>
      </c>
      <c r="N272" s="8" t="s">
        <v>349</v>
      </c>
      <c r="O272" s="11" t="str">
        <f t="shared" si="18"/>
        <v>53071257</v>
      </c>
      <c r="P272" s="11" t="str">
        <f t="shared" si="19"/>
        <v>53071257</v>
      </c>
      <c r="Q272" s="12" t="s">
        <v>1032</v>
      </c>
      <c r="R272" s="8">
        <v>2</v>
      </c>
      <c r="S272" s="8" t="s">
        <v>997</v>
      </c>
      <c r="T272" s="8" t="s">
        <v>1012</v>
      </c>
      <c r="U272" s="28">
        <f>VLOOKUP($L272,Tabla1[#All],4,FALSE)</f>
        <v>20.144058999999999</v>
      </c>
      <c r="V272" s="28">
        <f>VLOOKUP($L272,Tabla1[#All],5,FALSE)</f>
        <v>-75.204552000000007</v>
      </c>
      <c r="W272" s="43" t="s">
        <v>1717</v>
      </c>
    </row>
    <row r="273" spans="2:23" ht="15.6" customHeight="1">
      <c r="B273" s="8">
        <v>2783</v>
      </c>
      <c r="C273" s="16" t="str">
        <f t="shared" si="16"/>
        <v>2783-3341</v>
      </c>
      <c r="D273" s="8">
        <v>24013341</v>
      </c>
      <c r="E273" s="8" t="str">
        <f t="shared" si="17"/>
        <v>2783 - 3341</v>
      </c>
      <c r="F273" s="12" t="s">
        <v>660</v>
      </c>
      <c r="G273" s="45">
        <v>19.2</v>
      </c>
      <c r="H273" s="8">
        <v>1</v>
      </c>
      <c r="I273" s="13">
        <v>1502.1</v>
      </c>
      <c r="J273" s="12" t="s">
        <v>50</v>
      </c>
      <c r="K273" s="8">
        <v>7101505202</v>
      </c>
      <c r="L273" s="8">
        <v>94101929719</v>
      </c>
      <c r="M273" s="12" t="s">
        <v>661</v>
      </c>
      <c r="N273" s="8" t="s">
        <v>662</v>
      </c>
      <c r="O273" s="11" t="str">
        <f t="shared" si="18"/>
        <v>58090151</v>
      </c>
      <c r="P273" s="11" t="str">
        <f t="shared" si="19"/>
        <v>58090151</v>
      </c>
      <c r="Q273" s="12" t="s">
        <v>874</v>
      </c>
      <c r="R273" s="8">
        <v>2</v>
      </c>
      <c r="S273" s="8" t="s">
        <v>839</v>
      </c>
      <c r="T273" s="8" t="s">
        <v>104</v>
      </c>
      <c r="U273" s="28">
        <f>VLOOKUP($L273,Tabla1[#All],4,FALSE)</f>
        <v>22.977544000000002</v>
      </c>
      <c r="V273" s="28">
        <f>VLOOKUP($L273,Tabla1[#All],5,FALSE)</f>
        <v>-82.375844999999998</v>
      </c>
      <c r="W273" s="43" t="s">
        <v>1715</v>
      </c>
    </row>
    <row r="274" spans="2:23" ht="15.6" customHeight="1">
      <c r="B274" s="8">
        <v>2783</v>
      </c>
      <c r="C274" s="16" t="str">
        <f t="shared" si="16"/>
        <v>2783-3347</v>
      </c>
      <c r="D274" s="8">
        <v>24013347</v>
      </c>
      <c r="E274" s="8" t="str">
        <f t="shared" si="17"/>
        <v>2783 - 3347</v>
      </c>
      <c r="F274" s="12" t="s">
        <v>673</v>
      </c>
      <c r="G274" s="46">
        <v>15.7</v>
      </c>
      <c r="H274" s="8">
        <v>1</v>
      </c>
      <c r="I274" s="13">
        <v>1199.7</v>
      </c>
      <c r="J274" s="12" t="s">
        <v>50</v>
      </c>
      <c r="K274" s="8">
        <v>7101505202</v>
      </c>
      <c r="L274" s="8">
        <v>94111231540</v>
      </c>
      <c r="M274" s="12" t="s">
        <v>674</v>
      </c>
      <c r="N274" s="8" t="s">
        <v>675</v>
      </c>
      <c r="O274" s="11" t="str">
        <f t="shared" si="18"/>
        <v>53434717</v>
      </c>
      <c r="P274" s="11" t="str">
        <f t="shared" si="19"/>
        <v>53434717</v>
      </c>
      <c r="Q274" s="12" t="s">
        <v>1100</v>
      </c>
      <c r="R274" s="8">
        <v>2</v>
      </c>
      <c r="S274" s="8" t="s">
        <v>1084</v>
      </c>
      <c r="T274" s="8" t="s">
        <v>185</v>
      </c>
      <c r="U274" s="28">
        <f>VLOOKUP($L274,Tabla1[#All],4,FALSE)</f>
        <v>23.037758</v>
      </c>
      <c r="V274" s="28">
        <f>VLOOKUP($L274,Tabla1[#All],5,FALSE)</f>
        <v>-81.531454999999994</v>
      </c>
      <c r="W274" s="43" t="s">
        <v>1717</v>
      </c>
    </row>
    <row r="275" spans="2:23" ht="15.6" customHeight="1">
      <c r="B275" s="8">
        <v>2783</v>
      </c>
      <c r="C275" s="16" t="str">
        <f t="shared" si="16"/>
        <v>2783-3371</v>
      </c>
      <c r="D275" s="8">
        <v>24013371</v>
      </c>
      <c r="E275" s="8" t="str">
        <f t="shared" si="17"/>
        <v>2783 - 3371</v>
      </c>
      <c r="F275" s="12" t="s">
        <v>741</v>
      </c>
      <c r="G275" s="46">
        <v>24.7</v>
      </c>
      <c r="H275" s="8">
        <v>1</v>
      </c>
      <c r="I275" s="13">
        <v>1932.6</v>
      </c>
      <c r="J275" s="12" t="s">
        <v>50</v>
      </c>
      <c r="K275" s="8">
        <v>7101505202</v>
      </c>
      <c r="L275" s="8">
        <v>95010231406</v>
      </c>
      <c r="M275" s="12" t="s">
        <v>742</v>
      </c>
      <c r="N275" s="8" t="s">
        <v>743</v>
      </c>
      <c r="O275" s="11" t="str">
        <f t="shared" si="18"/>
        <v>63902665</v>
      </c>
      <c r="P275" s="11" t="str">
        <f t="shared" si="19"/>
        <v>63902665</v>
      </c>
      <c r="Q275" s="12" t="s">
        <v>1103</v>
      </c>
      <c r="R275" s="8">
        <v>2</v>
      </c>
      <c r="S275" s="8" t="s">
        <v>1084</v>
      </c>
      <c r="T275" s="8" t="s">
        <v>185</v>
      </c>
      <c r="U275" s="28">
        <f>VLOOKUP($L275,Tabla1[#All],4,FALSE)</f>
        <v>23.052361000000001</v>
      </c>
      <c r="V275" s="28">
        <f>VLOOKUP($L275,Tabla1[#All],5,FALSE)</f>
        <v>-81.588089999999994</v>
      </c>
      <c r="W275" s="43" t="s">
        <v>1717</v>
      </c>
    </row>
    <row r="276" spans="2:23" ht="15.6" customHeight="1">
      <c r="B276" s="8">
        <v>2783</v>
      </c>
      <c r="C276" s="16" t="str">
        <f t="shared" si="16"/>
        <v>2783-3307</v>
      </c>
      <c r="D276" s="8">
        <v>24013307</v>
      </c>
      <c r="E276" s="8" t="str">
        <f t="shared" si="17"/>
        <v>2783 - 3307</v>
      </c>
      <c r="F276" s="12" t="s">
        <v>591</v>
      </c>
      <c r="G276" s="55">
        <v>4.3</v>
      </c>
      <c r="H276" s="8">
        <v>1</v>
      </c>
      <c r="I276" s="13">
        <v>2386.1999999999998</v>
      </c>
      <c r="J276" s="12" t="s">
        <v>139</v>
      </c>
      <c r="K276" s="8">
        <v>71072105384</v>
      </c>
      <c r="L276" s="8">
        <v>95040930501</v>
      </c>
      <c r="M276" s="12" t="s">
        <v>140</v>
      </c>
      <c r="N276" s="8" t="s">
        <v>141</v>
      </c>
      <c r="O276" s="11" t="str">
        <f t="shared" si="18"/>
        <v>72749854</v>
      </c>
      <c r="P276" s="11" t="str">
        <f t="shared" si="19"/>
        <v>53869763</v>
      </c>
      <c r="Q276" s="12" t="s">
        <v>848</v>
      </c>
      <c r="R276" s="8">
        <v>2</v>
      </c>
      <c r="S276" s="8" t="s">
        <v>836</v>
      </c>
      <c r="T276" s="8" t="s">
        <v>104</v>
      </c>
      <c r="U276" s="28">
        <f>VLOOKUP($L276,Tabla1[#All],4,FALSE)</f>
        <v>23.056421</v>
      </c>
      <c r="V276" s="28">
        <f>VLOOKUP($L276,Tabla1[#All],5,FALSE)</f>
        <v>-82.470249999999993</v>
      </c>
      <c r="W276" s="43" t="s">
        <v>1717</v>
      </c>
    </row>
    <row r="277" spans="2:23" ht="15.6" customHeight="1">
      <c r="B277" s="8">
        <v>2864</v>
      </c>
      <c r="C277" s="16" t="str">
        <f t="shared" si="16"/>
        <v>2864-3654</v>
      </c>
      <c r="D277" s="8">
        <v>24013654</v>
      </c>
      <c r="E277" s="8" t="str">
        <f t="shared" si="17"/>
        <v>2864 - 3654</v>
      </c>
      <c r="F277" s="9" t="s">
        <v>138</v>
      </c>
      <c r="G277" s="55">
        <v>41.2</v>
      </c>
      <c r="H277" s="11">
        <v>1</v>
      </c>
      <c r="I277" s="13">
        <v>3747</v>
      </c>
      <c r="J277" s="12" t="s">
        <v>139</v>
      </c>
      <c r="K277" s="11">
        <v>71072105384</v>
      </c>
      <c r="L277" s="11">
        <v>95040930501</v>
      </c>
      <c r="M277" s="12" t="s">
        <v>140</v>
      </c>
      <c r="N277" s="8" t="s">
        <v>141</v>
      </c>
      <c r="O277" s="11" t="str">
        <f t="shared" si="18"/>
        <v>72749854</v>
      </c>
      <c r="P277" s="11" t="str">
        <f t="shared" si="19"/>
        <v>53869763</v>
      </c>
      <c r="Q277" s="12" t="s">
        <v>848</v>
      </c>
      <c r="R277" s="8">
        <v>2</v>
      </c>
      <c r="S277" s="8" t="s">
        <v>836</v>
      </c>
      <c r="T277" s="8" t="s">
        <v>104</v>
      </c>
      <c r="U277" s="28">
        <f>VLOOKUP($L277,Tabla1[#All],4,FALSE)</f>
        <v>23.056421</v>
      </c>
      <c r="V277" s="28">
        <f>VLOOKUP($L277,Tabla1[#All],5,FALSE)</f>
        <v>-82.470249999999993</v>
      </c>
      <c r="W277" s="43" t="s">
        <v>1717</v>
      </c>
    </row>
    <row r="278" spans="2:23" ht="15.6" customHeight="1">
      <c r="B278" s="8">
        <v>2864</v>
      </c>
      <c r="C278" s="16" t="str">
        <f t="shared" si="16"/>
        <v>2864-3614</v>
      </c>
      <c r="D278" s="8">
        <v>24013614</v>
      </c>
      <c r="E278" s="8" t="str">
        <f t="shared" si="17"/>
        <v>2864 - 3614</v>
      </c>
      <c r="F278" s="9" t="s">
        <v>148</v>
      </c>
      <c r="G278" s="55">
        <v>9.66</v>
      </c>
      <c r="H278" s="11">
        <v>1</v>
      </c>
      <c r="I278" s="13">
        <v>821.7</v>
      </c>
      <c r="J278" s="12" t="s">
        <v>149</v>
      </c>
      <c r="K278" s="11">
        <v>71072105384</v>
      </c>
      <c r="L278" s="11">
        <v>95092030438</v>
      </c>
      <c r="M278" s="12" t="s">
        <v>150</v>
      </c>
      <c r="N278" s="8" t="s">
        <v>151</v>
      </c>
      <c r="O278" s="11" t="str">
        <f t="shared" si="18"/>
        <v>51599652</v>
      </c>
      <c r="P278" s="11" t="str">
        <f t="shared" si="19"/>
        <v>51599652</v>
      </c>
      <c r="Q278" s="12" t="s">
        <v>909</v>
      </c>
      <c r="R278" s="8">
        <v>2</v>
      </c>
      <c r="S278" s="8" t="s">
        <v>843</v>
      </c>
      <c r="T278" s="8" t="s">
        <v>104</v>
      </c>
      <c r="U278" s="28">
        <f>VLOOKUP($L278,Tabla1[#All],4,FALSE)</f>
        <v>23.070526999999998</v>
      </c>
      <c r="V278" s="28">
        <f>VLOOKUP($L278,Tabla1[#All],5,FALSE)</f>
        <v>-82.437963999999994</v>
      </c>
      <c r="W278" s="43" t="s">
        <v>1717</v>
      </c>
    </row>
    <row r="279" spans="2:23" ht="15.6" customHeight="1">
      <c r="B279" s="8">
        <v>2794</v>
      </c>
      <c r="C279" s="16" t="str">
        <f t="shared" si="16"/>
        <v>2794-3503</v>
      </c>
      <c r="D279" s="11">
        <v>24013503</v>
      </c>
      <c r="E279" s="8" t="str">
        <f t="shared" si="17"/>
        <v>2794 - 3503</v>
      </c>
      <c r="F279" s="12" t="s">
        <v>564</v>
      </c>
      <c r="G279" s="10">
        <v>23.5</v>
      </c>
      <c r="H279" s="8">
        <v>1</v>
      </c>
      <c r="I279" s="13">
        <v>368.1</v>
      </c>
      <c r="J279" s="12" t="s">
        <v>50</v>
      </c>
      <c r="K279" s="8">
        <v>7101505202</v>
      </c>
      <c r="L279" s="8">
        <v>95112623480</v>
      </c>
      <c r="M279" s="12" t="s">
        <v>430</v>
      </c>
      <c r="N279" s="8" t="s">
        <v>431</v>
      </c>
      <c r="O279" s="11" t="str">
        <f t="shared" si="18"/>
        <v>55625854</v>
      </c>
      <c r="P279" s="11" t="str">
        <f t="shared" si="19"/>
        <v>55625854</v>
      </c>
      <c r="Q279" s="12" t="s">
        <v>987</v>
      </c>
      <c r="R279" s="8">
        <v>2</v>
      </c>
      <c r="S279" s="8" t="s">
        <v>966</v>
      </c>
      <c r="T279" s="8" t="s">
        <v>202</v>
      </c>
      <c r="U279" s="28">
        <f>VLOOKUP($L279,Tabla1[#All],4,FALSE)</f>
        <v>22.413544000000002</v>
      </c>
      <c r="V279" s="28">
        <f>VLOOKUP($L279,Tabla1[#All],5,FALSE)</f>
        <v>-83.707365999999993</v>
      </c>
      <c r="W279" s="43" t="s">
        <v>1717</v>
      </c>
    </row>
    <row r="280" spans="2:23" ht="15.6" customHeight="1">
      <c r="B280" s="8">
        <v>2794</v>
      </c>
      <c r="C280" s="16" t="str">
        <f t="shared" si="16"/>
        <v>2794-3549</v>
      </c>
      <c r="D280" s="11">
        <v>24013549</v>
      </c>
      <c r="E280" s="8" t="str">
        <f t="shared" si="17"/>
        <v>2794 - 3549</v>
      </c>
      <c r="F280" s="12" t="s">
        <v>510</v>
      </c>
      <c r="G280" s="10">
        <v>17.3</v>
      </c>
      <c r="H280" s="8">
        <v>1</v>
      </c>
      <c r="I280" s="13">
        <v>1350.9</v>
      </c>
      <c r="J280" s="12" t="s">
        <v>50</v>
      </c>
      <c r="K280" s="8">
        <v>7101505202</v>
      </c>
      <c r="L280" s="8">
        <v>95112744375</v>
      </c>
      <c r="M280" s="12" t="s">
        <v>511</v>
      </c>
      <c r="N280" s="8" t="s">
        <v>512</v>
      </c>
      <c r="O280" s="11" t="str">
        <f t="shared" si="18"/>
        <v>53570813</v>
      </c>
      <c r="P280" s="11" t="str">
        <f t="shared" si="19"/>
        <v>53570813</v>
      </c>
      <c r="Q280" s="12" t="s">
        <v>1686</v>
      </c>
      <c r="R280" s="8">
        <v>2</v>
      </c>
      <c r="S280" s="8" t="s">
        <v>912</v>
      </c>
      <c r="T280" s="8" t="s">
        <v>69</v>
      </c>
      <c r="U280" s="28">
        <f>VLOOKUP($L280,Tabla1[#All],4,FALSE)</f>
        <v>20.882719999999999</v>
      </c>
      <c r="V280" s="28">
        <f>VLOOKUP($L280,Tabla1[#All],5,FALSE)</f>
        <v>-76.241245000000006</v>
      </c>
      <c r="W280" s="43" t="s">
        <v>1717</v>
      </c>
    </row>
    <row r="281" spans="2:23" ht="15.6" customHeight="1">
      <c r="B281" s="8">
        <v>2794</v>
      </c>
      <c r="C281" s="16" t="str">
        <f t="shared" si="16"/>
        <v>2794-3550</v>
      </c>
      <c r="D281" s="11">
        <v>24013550</v>
      </c>
      <c r="E281" s="8" t="str">
        <f t="shared" si="17"/>
        <v>2794 - 3550</v>
      </c>
      <c r="F281" s="12" t="s">
        <v>513</v>
      </c>
      <c r="G281" s="10">
        <v>24.5</v>
      </c>
      <c r="H281" s="8">
        <v>1</v>
      </c>
      <c r="I281" s="13">
        <v>2008.2</v>
      </c>
      <c r="J281" s="12" t="s">
        <v>50</v>
      </c>
      <c r="K281" s="8">
        <v>7101505202</v>
      </c>
      <c r="L281" s="8">
        <v>95112744375</v>
      </c>
      <c r="M281" s="12" t="s">
        <v>511</v>
      </c>
      <c r="N281" s="8" t="s">
        <v>512</v>
      </c>
      <c r="O281" s="11" t="str">
        <f t="shared" si="18"/>
        <v>53570813</v>
      </c>
      <c r="P281" s="11" t="str">
        <f t="shared" si="19"/>
        <v>53570813</v>
      </c>
      <c r="Q281" s="12" t="s">
        <v>1686</v>
      </c>
      <c r="R281" s="8">
        <v>2</v>
      </c>
      <c r="S281" s="8" t="s">
        <v>912</v>
      </c>
      <c r="T281" s="8" t="s">
        <v>69</v>
      </c>
      <c r="U281" s="28">
        <f>VLOOKUP($L281,Tabla1[#All],4,FALSE)</f>
        <v>20.882719999999999</v>
      </c>
      <c r="V281" s="28">
        <f>VLOOKUP($L281,Tabla1[#All],5,FALSE)</f>
        <v>-76.241245000000006</v>
      </c>
      <c r="W281" s="43" t="s">
        <v>1717</v>
      </c>
    </row>
    <row r="282" spans="2:23" ht="15.6" customHeight="1">
      <c r="B282" s="8">
        <v>2783</v>
      </c>
      <c r="C282" s="16" t="str">
        <f t="shared" si="16"/>
        <v>2783-3413</v>
      </c>
      <c r="D282" s="8">
        <v>24013413</v>
      </c>
      <c r="E282" s="8" t="str">
        <f t="shared" si="17"/>
        <v>2783 - 3413</v>
      </c>
      <c r="F282" s="12" t="s">
        <v>800</v>
      </c>
      <c r="G282" s="33">
        <v>17.7</v>
      </c>
      <c r="H282" s="8">
        <v>1</v>
      </c>
      <c r="I282" s="13">
        <v>1350.9</v>
      </c>
      <c r="J282" s="12" t="s">
        <v>801</v>
      </c>
      <c r="K282" s="8">
        <v>6605201890</v>
      </c>
      <c r="L282" s="8">
        <v>96021008768</v>
      </c>
      <c r="M282" s="12" t="s">
        <v>802</v>
      </c>
      <c r="N282" s="8" t="s">
        <v>803</v>
      </c>
      <c r="O282" s="11" t="str">
        <f t="shared" si="18"/>
        <v>53620588</v>
      </c>
      <c r="P282" s="11" t="str">
        <f t="shared" si="19"/>
        <v>56620588</v>
      </c>
      <c r="Q282" s="12" t="s">
        <v>902</v>
      </c>
      <c r="R282" s="8">
        <v>2</v>
      </c>
      <c r="S282" s="8" t="s">
        <v>844</v>
      </c>
      <c r="T282" s="8" t="s">
        <v>104</v>
      </c>
      <c r="U282" s="28">
        <f>VLOOKUP($L282,Tabla1[#All],4,FALSE)</f>
        <v>23.125284000000001</v>
      </c>
      <c r="V282" s="28">
        <f>VLOOKUP($L282,Tabla1[#All],5,FALSE)</f>
        <v>-82.300222000000005</v>
      </c>
      <c r="W282" s="43" t="s">
        <v>1717</v>
      </c>
    </row>
    <row r="283" spans="2:23" ht="15.6" customHeight="1">
      <c r="B283" s="8">
        <v>2794</v>
      </c>
      <c r="C283" s="16" t="str">
        <f t="shared" si="16"/>
        <v>2794-3481</v>
      </c>
      <c r="D283" s="11">
        <v>24013481</v>
      </c>
      <c r="E283" s="8" t="str">
        <f t="shared" si="17"/>
        <v>2794 - 3481</v>
      </c>
      <c r="F283" s="12" t="s">
        <v>390</v>
      </c>
      <c r="G283" s="46">
        <v>24.9</v>
      </c>
      <c r="H283" s="8">
        <v>1</v>
      </c>
      <c r="I283" s="13">
        <v>2159.4</v>
      </c>
      <c r="J283" s="12" t="s">
        <v>50</v>
      </c>
      <c r="K283" s="8">
        <v>7101505202</v>
      </c>
      <c r="L283" s="8">
        <v>96111223391</v>
      </c>
      <c r="M283" s="12" t="s">
        <v>391</v>
      </c>
      <c r="N283" s="8" t="s">
        <v>392</v>
      </c>
      <c r="O283" s="11" t="str">
        <f t="shared" si="18"/>
        <v>53433188</v>
      </c>
      <c r="P283" s="11" t="str">
        <f t="shared" si="19"/>
        <v>53433188</v>
      </c>
      <c r="Q283" s="12" t="s">
        <v>1093</v>
      </c>
      <c r="R283" s="8">
        <v>2</v>
      </c>
      <c r="S283" s="8" t="s">
        <v>1084</v>
      </c>
      <c r="T283" s="8" t="s">
        <v>185</v>
      </c>
      <c r="U283" s="28">
        <f>VLOOKUP($L283,Tabla1[#All],4,FALSE)</f>
        <v>23.030712000000001</v>
      </c>
      <c r="V283" s="28">
        <f>VLOOKUP($L283,Tabla1[#All],5,FALSE)</f>
        <v>-81.526819000000003</v>
      </c>
      <c r="W283" s="43" t="s">
        <v>1717</v>
      </c>
    </row>
    <row r="284" spans="2:23" ht="15.6" customHeight="1">
      <c r="B284" s="8">
        <v>2794</v>
      </c>
      <c r="C284" s="16" t="str">
        <f t="shared" si="16"/>
        <v>2794-3482</v>
      </c>
      <c r="D284" s="11">
        <v>24013482</v>
      </c>
      <c r="E284" s="8" t="str">
        <f t="shared" si="17"/>
        <v>2794 - 3482</v>
      </c>
      <c r="F284" s="12" t="s">
        <v>574</v>
      </c>
      <c r="G284" s="46">
        <v>25</v>
      </c>
      <c r="H284" s="8">
        <v>1</v>
      </c>
      <c r="I284" s="13">
        <v>443.7</v>
      </c>
      <c r="J284" s="12" t="s">
        <v>50</v>
      </c>
      <c r="K284" s="8">
        <v>7101505202</v>
      </c>
      <c r="L284" s="8">
        <v>96111223391</v>
      </c>
      <c r="M284" s="12" t="s">
        <v>391</v>
      </c>
      <c r="N284" s="8" t="s">
        <v>392</v>
      </c>
      <c r="O284" s="11" t="str">
        <f t="shared" si="18"/>
        <v>53433188</v>
      </c>
      <c r="P284" s="11" t="str">
        <f t="shared" si="19"/>
        <v>53433188</v>
      </c>
      <c r="Q284" s="12" t="s">
        <v>1093</v>
      </c>
      <c r="R284" s="8">
        <v>2</v>
      </c>
      <c r="S284" s="8" t="s">
        <v>1084</v>
      </c>
      <c r="T284" s="8" t="s">
        <v>185</v>
      </c>
      <c r="U284" s="28">
        <f>VLOOKUP($L284,Tabla1[#All],4,FALSE)</f>
        <v>23.030712000000001</v>
      </c>
      <c r="V284" s="28">
        <f>VLOOKUP($L284,Tabla1[#All],5,FALSE)</f>
        <v>-81.526819000000003</v>
      </c>
      <c r="W284" s="43" t="s">
        <v>1717</v>
      </c>
    </row>
    <row r="285" spans="2:23" ht="15.6" customHeight="1">
      <c r="B285" s="8">
        <v>2864</v>
      </c>
      <c r="C285" s="16" t="str">
        <f t="shared" si="16"/>
        <v>2864-3633</v>
      </c>
      <c r="D285" s="8">
        <v>24013633</v>
      </c>
      <c r="E285" s="8" t="str">
        <f t="shared" si="17"/>
        <v>2864 - 3633</v>
      </c>
      <c r="F285" s="9" t="s">
        <v>33</v>
      </c>
      <c r="G285" s="10">
        <v>20</v>
      </c>
      <c r="H285" s="11">
        <v>1</v>
      </c>
      <c r="I285" s="13">
        <v>1577.7</v>
      </c>
      <c r="J285" s="12" t="s">
        <v>234</v>
      </c>
      <c r="K285" s="11">
        <v>71072105384</v>
      </c>
      <c r="L285" s="11">
        <v>97012210810</v>
      </c>
      <c r="M285" s="12" t="s">
        <v>235</v>
      </c>
      <c r="N285" s="8" t="s">
        <v>236</v>
      </c>
      <c r="O285" s="11" t="str">
        <f t="shared" si="18"/>
        <v>58509021</v>
      </c>
      <c r="P285" s="11" t="str">
        <f t="shared" si="19"/>
        <v>58509021</v>
      </c>
      <c r="Q285" s="12" t="s">
        <v>1056</v>
      </c>
      <c r="R285" s="8">
        <v>2</v>
      </c>
      <c r="S285" s="8" t="s">
        <v>1049</v>
      </c>
      <c r="T285" s="8" t="s">
        <v>211</v>
      </c>
      <c r="U285" s="28">
        <f>VLOOKUP($L285,Tabla1[#All],4,FALSE)</f>
        <v>22.306536000000001</v>
      </c>
      <c r="V285" s="28">
        <f>VLOOKUP($L285,Tabla1[#All],5,FALSE)</f>
        <v>-79.659098</v>
      </c>
      <c r="W285" s="43" t="s">
        <v>1718</v>
      </c>
    </row>
    <row r="286" spans="2:23" ht="15.6" customHeight="1">
      <c r="B286" s="8">
        <v>2864</v>
      </c>
      <c r="C286" s="16" t="str">
        <f t="shared" si="16"/>
        <v>2864-3634</v>
      </c>
      <c r="D286" s="8">
        <v>24013634</v>
      </c>
      <c r="E286" s="8" t="str">
        <f t="shared" si="17"/>
        <v>2864 - 3634</v>
      </c>
      <c r="F286" s="9" t="s">
        <v>33</v>
      </c>
      <c r="G286" s="10">
        <v>19.399999999999999</v>
      </c>
      <c r="H286" s="11">
        <v>1</v>
      </c>
      <c r="I286" s="13">
        <v>1502.1</v>
      </c>
      <c r="J286" s="12" t="s">
        <v>234</v>
      </c>
      <c r="K286" s="11">
        <v>71072105384</v>
      </c>
      <c r="L286" s="11">
        <v>97012210810</v>
      </c>
      <c r="M286" s="12" t="s">
        <v>235</v>
      </c>
      <c r="N286" s="8" t="s">
        <v>236</v>
      </c>
      <c r="O286" s="11" t="str">
        <f t="shared" si="18"/>
        <v>58509021</v>
      </c>
      <c r="P286" s="11" t="str">
        <f t="shared" si="19"/>
        <v>58509021</v>
      </c>
      <c r="Q286" s="12" t="s">
        <v>1056</v>
      </c>
      <c r="R286" s="8">
        <v>2</v>
      </c>
      <c r="S286" s="8" t="s">
        <v>1049</v>
      </c>
      <c r="T286" s="8" t="s">
        <v>211</v>
      </c>
      <c r="U286" s="28">
        <f>VLOOKUP($L286,Tabla1[#All],4,FALSE)</f>
        <v>22.306536000000001</v>
      </c>
      <c r="V286" s="28">
        <f>VLOOKUP($L286,Tabla1[#All],5,FALSE)</f>
        <v>-79.659098</v>
      </c>
      <c r="W286" s="43" t="s">
        <v>1718</v>
      </c>
    </row>
    <row r="287" spans="2:23" ht="15.6" customHeight="1">
      <c r="B287" s="8">
        <v>2783</v>
      </c>
      <c r="C287" s="16" t="str">
        <f t="shared" si="16"/>
        <v>2783-3337</v>
      </c>
      <c r="D287" s="8">
        <v>24013337</v>
      </c>
      <c r="E287" s="8" t="str">
        <f t="shared" si="17"/>
        <v>2783 - 3337</v>
      </c>
      <c r="F287" s="12" t="s">
        <v>653</v>
      </c>
      <c r="G287" s="10">
        <v>12.5</v>
      </c>
      <c r="H287" s="8">
        <v>1</v>
      </c>
      <c r="I287" s="13">
        <v>972.9</v>
      </c>
      <c r="J287" s="12" t="s">
        <v>50</v>
      </c>
      <c r="K287" s="8">
        <v>7101505202</v>
      </c>
      <c r="L287" s="8">
        <v>97041022731</v>
      </c>
      <c r="M287" s="12" t="s">
        <v>654</v>
      </c>
      <c r="N287" s="8" t="s">
        <v>655</v>
      </c>
      <c r="O287" s="11" t="str">
        <f t="shared" si="18"/>
        <v>59729027</v>
      </c>
      <c r="P287" s="11" t="str">
        <f t="shared" si="19"/>
        <v>59729027</v>
      </c>
      <c r="Q287" s="12" t="s">
        <v>1006</v>
      </c>
      <c r="R287" s="8">
        <v>2</v>
      </c>
      <c r="S287" s="8" t="s">
        <v>996</v>
      </c>
      <c r="T287" s="8" t="s">
        <v>79</v>
      </c>
      <c r="U287" s="28">
        <f>VLOOKUP($L287,Tabla1[#All],4,FALSE)</f>
        <v>20.299150999999998</v>
      </c>
      <c r="V287" s="28">
        <f>VLOOKUP($L287,Tabla1[#All],5,FALSE)</f>
        <v>-76.248075</v>
      </c>
      <c r="W287" s="43" t="s">
        <v>1717</v>
      </c>
    </row>
    <row r="288" spans="2:23" ht="15.6" customHeight="1">
      <c r="B288" s="8">
        <v>2783</v>
      </c>
      <c r="C288" s="16" t="str">
        <f t="shared" si="16"/>
        <v>2783-3338</v>
      </c>
      <c r="D288" s="8">
        <v>24013338</v>
      </c>
      <c r="E288" s="8" t="str">
        <f t="shared" si="17"/>
        <v>2783 - 3338</v>
      </c>
      <c r="F288" s="12" t="s">
        <v>653</v>
      </c>
      <c r="G288" s="10">
        <v>8.8000000000000007</v>
      </c>
      <c r="H288" s="8">
        <v>1</v>
      </c>
      <c r="I288" s="13">
        <v>670.5</v>
      </c>
      <c r="J288" s="12" t="s">
        <v>50</v>
      </c>
      <c r="K288" s="8">
        <v>7101505202</v>
      </c>
      <c r="L288" s="8">
        <v>97041022731</v>
      </c>
      <c r="M288" s="12" t="s">
        <v>654</v>
      </c>
      <c r="N288" s="8" t="s">
        <v>655</v>
      </c>
      <c r="O288" s="11" t="str">
        <f t="shared" si="18"/>
        <v>59729027</v>
      </c>
      <c r="P288" s="11" t="str">
        <f t="shared" si="19"/>
        <v>59729027</v>
      </c>
      <c r="Q288" s="12" t="s">
        <v>1006</v>
      </c>
      <c r="R288" s="8">
        <v>2</v>
      </c>
      <c r="S288" s="8" t="s">
        <v>996</v>
      </c>
      <c r="T288" s="8" t="s">
        <v>79</v>
      </c>
      <c r="U288" s="28">
        <f>VLOOKUP($L288,Tabla1[#All],4,FALSE)</f>
        <v>20.299150999999998</v>
      </c>
      <c r="V288" s="28">
        <f>VLOOKUP($L288,Tabla1[#All],5,FALSE)</f>
        <v>-76.248075</v>
      </c>
      <c r="W288" s="43" t="s">
        <v>1717</v>
      </c>
    </row>
    <row r="289" spans="2:23" ht="15.6" customHeight="1">
      <c r="B289" s="8">
        <v>2783</v>
      </c>
      <c r="C289" s="16" t="str">
        <f t="shared" si="16"/>
        <v>2783-3339</v>
      </c>
      <c r="D289" s="8">
        <v>24013339</v>
      </c>
      <c r="E289" s="8" t="str">
        <f t="shared" si="17"/>
        <v>2783 - 3339</v>
      </c>
      <c r="F289" s="12" t="s">
        <v>656</v>
      </c>
      <c r="G289" s="10">
        <v>10.9</v>
      </c>
      <c r="H289" s="8">
        <v>1</v>
      </c>
      <c r="I289" s="13">
        <v>821.7</v>
      </c>
      <c r="J289" s="12" t="s">
        <v>50</v>
      </c>
      <c r="K289" s="8">
        <v>7101505202</v>
      </c>
      <c r="L289" s="8">
        <v>97041022731</v>
      </c>
      <c r="M289" s="12" t="s">
        <v>654</v>
      </c>
      <c r="N289" s="8" t="s">
        <v>655</v>
      </c>
      <c r="O289" s="11" t="str">
        <f t="shared" si="18"/>
        <v>59729027</v>
      </c>
      <c r="P289" s="11" t="str">
        <f t="shared" si="19"/>
        <v>59729027</v>
      </c>
      <c r="Q289" s="12" t="s">
        <v>1006</v>
      </c>
      <c r="R289" s="8">
        <v>2</v>
      </c>
      <c r="S289" s="8" t="s">
        <v>996</v>
      </c>
      <c r="T289" s="8" t="s">
        <v>79</v>
      </c>
      <c r="U289" s="28">
        <f>VLOOKUP($L289,Tabla1[#All],4,FALSE)</f>
        <v>20.299150999999998</v>
      </c>
      <c r="V289" s="28">
        <f>VLOOKUP($L289,Tabla1[#All],5,FALSE)</f>
        <v>-76.248075</v>
      </c>
      <c r="W289" s="43" t="s">
        <v>1717</v>
      </c>
    </row>
    <row r="290" spans="2:23" ht="15.6" customHeight="1">
      <c r="B290" s="8">
        <v>2794</v>
      </c>
      <c r="C290" s="16" t="str">
        <f t="shared" si="16"/>
        <v>2794-3517</v>
      </c>
      <c r="D290" s="11">
        <v>24013517</v>
      </c>
      <c r="E290" s="8" t="str">
        <f t="shared" si="17"/>
        <v>2794 - 3517</v>
      </c>
      <c r="F290" s="12" t="s">
        <v>554</v>
      </c>
      <c r="G290" s="10">
        <v>19.600000000000001</v>
      </c>
      <c r="H290" s="8">
        <v>1</v>
      </c>
      <c r="I290" s="13">
        <v>1577.7</v>
      </c>
      <c r="J290" s="12" t="s">
        <v>50</v>
      </c>
      <c r="K290" s="8">
        <v>7101505202</v>
      </c>
      <c r="L290" s="8">
        <v>97082222170</v>
      </c>
      <c r="M290" s="12" t="s">
        <v>455</v>
      </c>
      <c r="N290" s="8" t="s">
        <v>456</v>
      </c>
      <c r="O290" s="11" t="str">
        <f t="shared" si="18"/>
        <v>54810519</v>
      </c>
      <c r="P290" s="11" t="str">
        <f t="shared" si="19"/>
        <v>54810519</v>
      </c>
      <c r="Q290" s="12" t="s">
        <v>1038</v>
      </c>
      <c r="R290" s="8">
        <v>2</v>
      </c>
      <c r="S290" s="8" t="s">
        <v>1000</v>
      </c>
      <c r="T290" s="8" t="s">
        <v>79</v>
      </c>
      <c r="U290" s="28">
        <f>VLOOKUP($L290,Tabla1[#All],4,FALSE)</f>
        <v>20.406510999999998</v>
      </c>
      <c r="V290" s="28">
        <f>VLOOKUP($L290,Tabla1[#All],5,FALSE)</f>
        <v>-75.541717000000006</v>
      </c>
      <c r="W290" s="43" t="s">
        <v>1717</v>
      </c>
    </row>
    <row r="291" spans="2:23" ht="15.6" customHeight="1">
      <c r="B291" s="8">
        <v>2783</v>
      </c>
      <c r="C291" s="16" t="str">
        <f t="shared" si="16"/>
        <v>2783-3357</v>
      </c>
      <c r="D291" s="8">
        <v>24013357</v>
      </c>
      <c r="E291" s="8" t="str">
        <f t="shared" si="17"/>
        <v>2783 - 3357</v>
      </c>
      <c r="F291" s="12" t="s">
        <v>700</v>
      </c>
      <c r="G291" s="33">
        <v>14</v>
      </c>
      <c r="H291" s="8">
        <v>1</v>
      </c>
      <c r="I291" s="13">
        <v>1124.0999999999999</v>
      </c>
      <c r="J291" s="12" t="s">
        <v>50</v>
      </c>
      <c r="K291" s="8">
        <v>7101505202</v>
      </c>
      <c r="L291" s="8">
        <v>97092508552</v>
      </c>
      <c r="M291" s="12" t="s">
        <v>701</v>
      </c>
      <c r="N291" s="8" t="s">
        <v>702</v>
      </c>
      <c r="O291" s="11" t="str">
        <f t="shared" si="18"/>
        <v>55285511</v>
      </c>
      <c r="P291" s="11" t="str">
        <f t="shared" si="19"/>
        <v>55285511</v>
      </c>
      <c r="Q291" s="12" t="s">
        <v>895</v>
      </c>
      <c r="R291" s="8">
        <v>2</v>
      </c>
      <c r="S291" s="8" t="s">
        <v>837</v>
      </c>
      <c r="T291" s="8" t="s">
        <v>104</v>
      </c>
      <c r="U291" s="28">
        <f>VLOOKUP($L291,Tabla1[#All],4,FALSE)</f>
        <v>23.132183000000001</v>
      </c>
      <c r="V291" s="28">
        <f>VLOOKUP($L291,Tabla1[#All],5,FALSE)</f>
        <v>-82.407086000000007</v>
      </c>
      <c r="W291" s="43" t="s">
        <v>1717</v>
      </c>
    </row>
    <row r="292" spans="2:23" ht="15.6" customHeight="1">
      <c r="B292" s="8">
        <v>2864</v>
      </c>
      <c r="C292" s="16" t="str">
        <f t="shared" si="16"/>
        <v>2864-3582</v>
      </c>
      <c r="D292" s="8">
        <v>24013582</v>
      </c>
      <c r="E292" s="8" t="str">
        <f t="shared" si="17"/>
        <v>2864 - 3582</v>
      </c>
      <c r="F292" s="9" t="s">
        <v>271</v>
      </c>
      <c r="G292" s="33">
        <v>17.600000000000001</v>
      </c>
      <c r="H292" s="11">
        <v>1</v>
      </c>
      <c r="I292" s="13">
        <v>295</v>
      </c>
      <c r="J292" s="12" t="s">
        <v>50</v>
      </c>
      <c r="K292" s="11">
        <v>7101505202</v>
      </c>
      <c r="L292" s="11">
        <v>98050106492</v>
      </c>
      <c r="M292" s="12" t="s">
        <v>106</v>
      </c>
      <c r="N292" s="8" t="s">
        <v>107</v>
      </c>
      <c r="O292" s="11" t="str">
        <f t="shared" si="18"/>
        <v>58049370</v>
      </c>
      <c r="P292" s="11" t="str">
        <f t="shared" si="19"/>
        <v>58049370</v>
      </c>
      <c r="Q292" s="12" t="s">
        <v>870</v>
      </c>
      <c r="R292" s="8">
        <v>2</v>
      </c>
      <c r="S292" s="8" t="s">
        <v>847</v>
      </c>
      <c r="T292" s="8" t="s">
        <v>104</v>
      </c>
      <c r="U292" s="28">
        <f>VLOOKUP($L292,Tabla1[#All],4,FALSE)</f>
        <v>23.077244</v>
      </c>
      <c r="V292" s="28">
        <f>VLOOKUP($L292,Tabla1[#All],5,FALSE)</f>
        <v>-82.363788</v>
      </c>
      <c r="W292" s="43" t="s">
        <v>1717</v>
      </c>
    </row>
    <row r="293" spans="2:23" ht="15.6" customHeight="1">
      <c r="B293" s="8">
        <v>2783</v>
      </c>
      <c r="C293" s="16" t="str">
        <f t="shared" si="16"/>
        <v>2783-3349</v>
      </c>
      <c r="D293" s="8">
        <v>24013349</v>
      </c>
      <c r="E293" s="8" t="str">
        <f t="shared" si="17"/>
        <v>2783 - 3349</v>
      </c>
      <c r="F293" s="12" t="s">
        <v>679</v>
      </c>
      <c r="G293" s="46">
        <v>18.399999999999999</v>
      </c>
      <c r="H293" s="8">
        <v>1</v>
      </c>
      <c r="I293" s="13">
        <v>295</v>
      </c>
      <c r="J293" s="12" t="s">
        <v>50</v>
      </c>
      <c r="K293" s="8">
        <v>7101505202</v>
      </c>
      <c r="L293" s="8">
        <v>98070708999</v>
      </c>
      <c r="M293" s="12" t="s">
        <v>680</v>
      </c>
      <c r="N293" s="8" t="s">
        <v>681</v>
      </c>
      <c r="O293" s="11" t="str">
        <f t="shared" si="18"/>
        <v>58115268</v>
      </c>
      <c r="P293" s="11" t="str">
        <f t="shared" si="19"/>
        <v>58115268</v>
      </c>
      <c r="Q293" s="12" t="s">
        <v>1102</v>
      </c>
      <c r="R293" s="8">
        <v>2</v>
      </c>
      <c r="S293" s="8" t="s">
        <v>1084</v>
      </c>
      <c r="T293" s="8" t="s">
        <v>185</v>
      </c>
      <c r="U293" s="28">
        <f>VLOOKUP($L293,Tabla1[#All],4,FALSE)</f>
        <v>23.037413999999998</v>
      </c>
      <c r="V293" s="28">
        <f>VLOOKUP($L293,Tabla1[#All],5,FALSE)</f>
        <v>-81.523111</v>
      </c>
      <c r="W293" s="43" t="s">
        <v>1717</v>
      </c>
    </row>
    <row r="294" spans="2:23" ht="15.6" customHeight="1">
      <c r="B294" s="8">
        <v>2794</v>
      </c>
      <c r="C294" s="16" t="str">
        <f t="shared" si="16"/>
        <v>2794-3437</v>
      </c>
      <c r="D294" s="11">
        <v>24013437</v>
      </c>
      <c r="E294" s="8" t="str">
        <f t="shared" si="17"/>
        <v>2794 - 3437</v>
      </c>
      <c r="F294" s="12" t="s">
        <v>301</v>
      </c>
      <c r="G294" s="10">
        <v>22.1</v>
      </c>
      <c r="H294" s="8">
        <v>1</v>
      </c>
      <c r="I294" s="13">
        <v>1781.4</v>
      </c>
      <c r="J294" s="12" t="s">
        <v>50</v>
      </c>
      <c r="K294" s="8">
        <v>7101505202</v>
      </c>
      <c r="L294" s="8">
        <v>98080127925</v>
      </c>
      <c r="M294" s="12" t="s">
        <v>302</v>
      </c>
      <c r="N294" s="8" t="s">
        <v>303</v>
      </c>
      <c r="O294" s="11" t="str">
        <f t="shared" si="18"/>
        <v>55558907</v>
      </c>
      <c r="P294" s="11" t="str">
        <f t="shared" si="19"/>
        <v>55558907</v>
      </c>
      <c r="Q294" s="12" t="s">
        <v>1028</v>
      </c>
      <c r="R294" s="8">
        <v>2</v>
      </c>
      <c r="S294" s="8" t="s">
        <v>997</v>
      </c>
      <c r="T294" s="8" t="s">
        <v>1012</v>
      </c>
      <c r="U294" s="28">
        <f>VLOOKUP($L294,Tabla1[#All],4,FALSE)</f>
        <v>20.141120000000001</v>
      </c>
      <c r="V294" s="28">
        <f>VLOOKUP($L294,Tabla1[#All],5,FALSE)</f>
        <v>-75.204744000000005</v>
      </c>
      <c r="W294" s="43" t="s">
        <v>1717</v>
      </c>
    </row>
    <row r="295" spans="2:23" ht="15.6" customHeight="1">
      <c r="B295" s="8">
        <v>2783</v>
      </c>
      <c r="C295" s="16" t="str">
        <f t="shared" si="16"/>
        <v>2783-3417</v>
      </c>
      <c r="D295" s="8">
        <v>24013417</v>
      </c>
      <c r="E295" s="8" t="str">
        <f t="shared" si="17"/>
        <v>2783 - 3417</v>
      </c>
      <c r="F295" s="12" t="s">
        <v>812</v>
      </c>
      <c r="G295" s="10">
        <v>30.8</v>
      </c>
      <c r="H295" s="8">
        <v>1</v>
      </c>
      <c r="I295" s="13">
        <v>1426.5</v>
      </c>
      <c r="J295" s="12" t="s">
        <v>813</v>
      </c>
      <c r="K295" s="8">
        <v>76032786969</v>
      </c>
      <c r="L295" s="8">
        <v>98081610688</v>
      </c>
      <c r="M295" s="12" t="s">
        <v>814</v>
      </c>
      <c r="N295" s="8" t="s">
        <v>815</v>
      </c>
      <c r="O295" s="11" t="str">
        <f t="shared" si="18"/>
        <v>56488691</v>
      </c>
      <c r="P295" s="11" t="str">
        <f t="shared" si="19"/>
        <v>56488691</v>
      </c>
      <c r="Q295" s="12" t="s">
        <v>1062</v>
      </c>
      <c r="R295" s="8">
        <v>2</v>
      </c>
      <c r="S295" s="8" t="s">
        <v>1045</v>
      </c>
      <c r="T295" s="8" t="s">
        <v>211</v>
      </c>
      <c r="U295" s="28">
        <f>VLOOKUP($L295,Tabla1[#All],4,FALSE)</f>
        <v>22.879549999999998</v>
      </c>
      <c r="V295" s="28">
        <f>VLOOKUP($L295,Tabla1[#All],5,FALSE)</f>
        <v>-80.390933000000004</v>
      </c>
      <c r="W295" s="43" t="s">
        <v>1718</v>
      </c>
    </row>
    <row r="296" spans="2:23" ht="15.6" customHeight="1">
      <c r="B296" s="8">
        <v>2794</v>
      </c>
      <c r="C296" s="16" t="str">
        <f t="shared" si="16"/>
        <v>2794-3486</v>
      </c>
      <c r="D296" s="11">
        <v>24013486</v>
      </c>
      <c r="E296" s="8" t="str">
        <f t="shared" si="17"/>
        <v>2794 - 3486</v>
      </c>
      <c r="F296" s="12" t="s">
        <v>572</v>
      </c>
      <c r="G296" s="10">
        <v>18.100000000000001</v>
      </c>
      <c r="H296" s="8">
        <v>1</v>
      </c>
      <c r="I296" s="13">
        <v>1350.9</v>
      </c>
      <c r="J296" s="12" t="s">
        <v>50</v>
      </c>
      <c r="K296" s="8">
        <v>7101505202</v>
      </c>
      <c r="L296" s="8">
        <v>98082913194</v>
      </c>
      <c r="M296" s="12" t="s">
        <v>398</v>
      </c>
      <c r="N296" s="8" t="s">
        <v>399</v>
      </c>
      <c r="O296" s="11" t="str">
        <f t="shared" si="18"/>
        <v>52043815</v>
      </c>
      <c r="P296" s="11" t="str">
        <f t="shared" si="19"/>
        <v>52043815</v>
      </c>
      <c r="Q296" s="12" t="s">
        <v>1068</v>
      </c>
      <c r="R296" s="8">
        <v>2</v>
      </c>
      <c r="S296" s="8" t="s">
        <v>1041</v>
      </c>
      <c r="T296" s="8" t="s">
        <v>1052</v>
      </c>
      <c r="U296" s="28">
        <f>VLOOKUP($L296,Tabla1[#All],4,FALSE)</f>
        <v>21.935915999999999</v>
      </c>
      <c r="V296" s="28">
        <f>VLOOKUP($L296,Tabla1[#All],5,FALSE)</f>
        <v>-79.448610000000002</v>
      </c>
      <c r="W296" s="43" t="s">
        <v>1718</v>
      </c>
    </row>
    <row r="297" spans="2:23" ht="15.6" customHeight="1">
      <c r="B297" s="8">
        <v>2783</v>
      </c>
      <c r="C297" s="16" t="str">
        <f t="shared" si="16"/>
        <v>2783-3344</v>
      </c>
      <c r="D297" s="8">
        <v>24013344</v>
      </c>
      <c r="E297" s="8" t="str">
        <f t="shared" si="17"/>
        <v>2783 - 3344</v>
      </c>
      <c r="F297" s="12" t="s">
        <v>669</v>
      </c>
      <c r="G297" s="33">
        <v>10.6</v>
      </c>
      <c r="H297" s="8">
        <v>1</v>
      </c>
      <c r="I297" s="13">
        <v>821.7</v>
      </c>
      <c r="J297" s="12" t="s">
        <v>50</v>
      </c>
      <c r="K297" s="8">
        <v>7101505202</v>
      </c>
      <c r="L297" s="8">
        <v>98083008120</v>
      </c>
      <c r="M297" s="12" t="s">
        <v>670</v>
      </c>
      <c r="N297" s="8" t="s">
        <v>671</v>
      </c>
      <c r="O297" s="11" t="str">
        <f t="shared" si="18"/>
        <v>53862942</v>
      </c>
      <c r="P297" s="11" t="str">
        <f t="shared" si="19"/>
        <v>53862942</v>
      </c>
      <c r="Q297" s="12" t="s">
        <v>894</v>
      </c>
      <c r="R297" s="8">
        <v>2</v>
      </c>
      <c r="S297" s="8" t="s">
        <v>837</v>
      </c>
      <c r="T297" s="8" t="s">
        <v>104</v>
      </c>
      <c r="U297" s="28">
        <f>VLOOKUP($L297,Tabla1[#All],4,FALSE)</f>
        <v>23.103929999999998</v>
      </c>
      <c r="V297" s="28">
        <f>VLOOKUP($L297,Tabla1[#All],5,FALSE)</f>
        <v>-82.417365000000004</v>
      </c>
      <c r="W297" s="43" t="s">
        <v>1717</v>
      </c>
    </row>
    <row r="298" spans="2:23" ht="15.6" customHeight="1">
      <c r="B298" s="8">
        <v>2783</v>
      </c>
      <c r="C298" s="16" t="str">
        <f t="shared" si="16"/>
        <v>2783-3364</v>
      </c>
      <c r="D298" s="8">
        <v>24013364</v>
      </c>
      <c r="E298" s="8" t="str">
        <f t="shared" si="17"/>
        <v>2783 - 3364</v>
      </c>
      <c r="F298" s="12" t="s">
        <v>720</v>
      </c>
      <c r="G298" s="10">
        <v>23.8</v>
      </c>
      <c r="H298" s="8">
        <v>1</v>
      </c>
      <c r="I298" s="13">
        <v>1857</v>
      </c>
      <c r="J298" s="12" t="s">
        <v>50</v>
      </c>
      <c r="K298" s="8">
        <v>7101505202</v>
      </c>
      <c r="L298" s="8">
        <v>98111913091</v>
      </c>
      <c r="M298" s="12" t="s">
        <v>721</v>
      </c>
      <c r="N298" s="8" t="s">
        <v>722</v>
      </c>
      <c r="O298" s="11" t="str">
        <f t="shared" si="18"/>
        <v>54579242</v>
      </c>
      <c r="P298" s="11" t="str">
        <f t="shared" si="19"/>
        <v>54579242</v>
      </c>
      <c r="Q298" s="12" t="s">
        <v>1070</v>
      </c>
      <c r="R298" s="8">
        <v>2</v>
      </c>
      <c r="S298" s="8" t="s">
        <v>1041</v>
      </c>
      <c r="T298" s="8" t="s">
        <v>1052</v>
      </c>
      <c r="U298" s="28">
        <f>VLOOKUP($L298,Tabla1[#All],4,FALSE)</f>
        <v>21.922874</v>
      </c>
      <c r="V298" s="28">
        <f>VLOOKUP($L298,Tabla1[#All],5,FALSE)</f>
        <v>-79.428411999999994</v>
      </c>
      <c r="W298" s="43" t="s">
        <v>1718</v>
      </c>
    </row>
    <row r="299" spans="2:23" ht="15.6" customHeight="1">
      <c r="B299" s="8">
        <v>2794</v>
      </c>
      <c r="C299" s="16" t="str">
        <f t="shared" si="16"/>
        <v>2794-3499</v>
      </c>
      <c r="D299" s="11">
        <v>24013499</v>
      </c>
      <c r="E299" s="8" t="str">
        <f t="shared" si="17"/>
        <v>2794 - 3499</v>
      </c>
      <c r="F299" s="12" t="s">
        <v>423</v>
      </c>
      <c r="G299" s="10">
        <v>21.4</v>
      </c>
      <c r="H299" s="8">
        <v>1</v>
      </c>
      <c r="I299" s="13">
        <v>1705.8</v>
      </c>
      <c r="J299" s="12" t="s">
        <v>50</v>
      </c>
      <c r="K299" s="8">
        <v>7101505202</v>
      </c>
      <c r="L299" s="8">
        <v>98112102423</v>
      </c>
      <c r="M299" s="12" t="s">
        <v>424</v>
      </c>
      <c r="N299" s="8" t="s">
        <v>425</v>
      </c>
      <c r="O299" s="11" t="str">
        <f t="shared" si="18"/>
        <v>63279873</v>
      </c>
      <c r="P299" s="11" t="str">
        <f t="shared" si="19"/>
        <v>63279873</v>
      </c>
      <c r="Q299" s="12" t="s">
        <v>987</v>
      </c>
      <c r="R299" s="8">
        <v>2</v>
      </c>
      <c r="S299" s="8" t="s">
        <v>966</v>
      </c>
      <c r="T299" s="8" t="s">
        <v>202</v>
      </c>
      <c r="U299" s="28">
        <f>VLOOKUP($L299,Tabla1[#All],4,FALSE)</f>
        <v>22.413544000000002</v>
      </c>
      <c r="V299" s="28">
        <f>VLOOKUP($L299,Tabla1[#All],5,FALSE)</f>
        <v>-83.707365999999993</v>
      </c>
      <c r="W299" s="43" t="s">
        <v>1717</v>
      </c>
    </row>
    <row r="300" spans="2:23" ht="15.6" customHeight="1">
      <c r="B300" s="8">
        <v>2794</v>
      </c>
      <c r="C300" s="16" t="str">
        <f t="shared" si="16"/>
        <v>2794-3500</v>
      </c>
      <c r="D300" s="11">
        <v>24013500</v>
      </c>
      <c r="E300" s="8" t="str">
        <f t="shared" si="17"/>
        <v>2794 - 3500</v>
      </c>
      <c r="F300" s="12" t="s">
        <v>567</v>
      </c>
      <c r="G300" s="10">
        <v>24.1</v>
      </c>
      <c r="H300" s="8">
        <v>1</v>
      </c>
      <c r="I300" s="13">
        <v>1705.8</v>
      </c>
      <c r="J300" s="12" t="s">
        <v>50</v>
      </c>
      <c r="K300" s="8">
        <v>7101505202</v>
      </c>
      <c r="L300" s="8">
        <v>98112102423</v>
      </c>
      <c r="M300" s="12" t="s">
        <v>424</v>
      </c>
      <c r="N300" s="8" t="s">
        <v>425</v>
      </c>
      <c r="O300" s="11" t="str">
        <f t="shared" si="18"/>
        <v>63279873</v>
      </c>
      <c r="P300" s="11" t="str">
        <f t="shared" si="19"/>
        <v>63279873</v>
      </c>
      <c r="Q300" s="12" t="s">
        <v>987</v>
      </c>
      <c r="R300" s="8">
        <v>2</v>
      </c>
      <c r="S300" s="8" t="s">
        <v>966</v>
      </c>
      <c r="T300" s="8" t="s">
        <v>202</v>
      </c>
      <c r="U300" s="28">
        <f>VLOOKUP($L300,Tabla1[#All],4,FALSE)</f>
        <v>22.413544000000002</v>
      </c>
      <c r="V300" s="28">
        <f>VLOOKUP($L300,Tabla1[#All],5,FALSE)</f>
        <v>-83.707365999999993</v>
      </c>
      <c r="W300" s="43" t="s">
        <v>1717</v>
      </c>
    </row>
    <row r="301" spans="2:23" ht="15.6" customHeight="1">
      <c r="B301" s="8">
        <v>2783</v>
      </c>
      <c r="C301" s="16" t="str">
        <f t="shared" si="16"/>
        <v>2783-3387</v>
      </c>
      <c r="D301" s="8">
        <v>24013387</v>
      </c>
      <c r="E301" s="8" t="str">
        <f t="shared" si="17"/>
        <v>2783 - 3387</v>
      </c>
      <c r="F301" s="12" t="s">
        <v>779</v>
      </c>
      <c r="G301" s="10">
        <v>7.2</v>
      </c>
      <c r="H301" s="8">
        <v>1</v>
      </c>
      <c r="I301" s="13">
        <v>443.7</v>
      </c>
      <c r="J301" s="12" t="s">
        <v>50</v>
      </c>
      <c r="K301" s="8">
        <v>7101505202</v>
      </c>
      <c r="L301" s="8">
        <v>98120110529</v>
      </c>
      <c r="M301" s="12" t="s">
        <v>780</v>
      </c>
      <c r="N301" s="8" t="s">
        <v>781</v>
      </c>
      <c r="O301" s="11" t="str">
        <f t="shared" si="18"/>
        <v>54350098</v>
      </c>
      <c r="P301" s="11" t="str">
        <f t="shared" si="19"/>
        <v>54350098</v>
      </c>
      <c r="Q301" s="12" t="s">
        <v>1051</v>
      </c>
      <c r="R301" s="8">
        <v>2</v>
      </c>
      <c r="S301" s="8" t="s">
        <v>1042</v>
      </c>
      <c r="T301" s="8" t="s">
        <v>211</v>
      </c>
      <c r="U301" s="28">
        <f>VLOOKUP($L301,Tabla1[#All],4,FALSE)</f>
        <v>22.384169</v>
      </c>
      <c r="V301" s="28">
        <f>VLOOKUP($L301,Tabla1[#All],5,FALSE)</f>
        <v>-79.958703</v>
      </c>
      <c r="W301" s="43" t="s">
        <v>1718</v>
      </c>
    </row>
    <row r="302" spans="2:23" ht="15.6" customHeight="1">
      <c r="B302" s="8">
        <v>2794</v>
      </c>
      <c r="C302" s="16" t="str">
        <f t="shared" si="16"/>
        <v>2794-3443</v>
      </c>
      <c r="D302" s="11">
        <v>24013443</v>
      </c>
      <c r="E302" s="8" t="str">
        <f t="shared" si="17"/>
        <v>2794 - 3443</v>
      </c>
      <c r="F302" s="12" t="s">
        <v>315</v>
      </c>
      <c r="G302" s="10">
        <v>28.4</v>
      </c>
      <c r="H302" s="8">
        <v>1</v>
      </c>
      <c r="I302" s="13">
        <v>2235</v>
      </c>
      <c r="J302" s="12" t="s">
        <v>50</v>
      </c>
      <c r="K302" s="8">
        <v>7101505202</v>
      </c>
      <c r="L302" s="8">
        <v>98121021472</v>
      </c>
      <c r="M302" s="12" t="s">
        <v>316</v>
      </c>
      <c r="N302" s="8" t="s">
        <v>317</v>
      </c>
      <c r="O302" s="11" t="str">
        <f t="shared" si="18"/>
        <v>56047348</v>
      </c>
      <c r="P302" s="11" t="str">
        <f t="shared" si="19"/>
        <v>56047348</v>
      </c>
      <c r="Q302" s="12" t="s">
        <v>1027</v>
      </c>
      <c r="R302" s="8">
        <v>2</v>
      </c>
      <c r="S302" s="8" t="s">
        <v>994</v>
      </c>
      <c r="T302" s="8" t="s">
        <v>79</v>
      </c>
      <c r="U302" s="28">
        <f>VLOOKUP($L302,Tabla1[#All],4,FALSE)</f>
        <v>20.039694000000001</v>
      </c>
      <c r="V302" s="28">
        <f>VLOOKUP($L302,Tabla1[#All],5,FALSE)</f>
        <v>-75.835229999999996</v>
      </c>
      <c r="W302" s="43" t="s">
        <v>1717</v>
      </c>
    </row>
    <row r="303" spans="2:23" ht="15.6" customHeight="1">
      <c r="B303" s="8">
        <v>2794</v>
      </c>
      <c r="C303" s="16" t="str">
        <f t="shared" si="16"/>
        <v>2794-3483</v>
      </c>
      <c r="D303" s="11">
        <v>24013483</v>
      </c>
      <c r="E303" s="8" t="str">
        <f t="shared" si="17"/>
        <v>2794 - 3483</v>
      </c>
      <c r="F303" s="12" t="s">
        <v>575</v>
      </c>
      <c r="G303" s="10">
        <v>27.4</v>
      </c>
      <c r="H303" s="8">
        <v>1</v>
      </c>
      <c r="I303" s="13">
        <v>2613</v>
      </c>
      <c r="J303" s="12" t="s">
        <v>50</v>
      </c>
      <c r="K303" s="8">
        <v>7101505202</v>
      </c>
      <c r="L303" s="8">
        <v>99021919322</v>
      </c>
      <c r="M303" s="12" t="s">
        <v>393</v>
      </c>
      <c r="N303" s="8" t="s">
        <v>394</v>
      </c>
      <c r="O303" s="11" t="str">
        <f t="shared" si="18"/>
        <v>55990721</v>
      </c>
      <c r="P303" s="11" t="str">
        <f t="shared" si="19"/>
        <v>55990721</v>
      </c>
      <c r="Q303" s="12" t="s">
        <v>953</v>
      </c>
      <c r="R303" s="8">
        <v>2</v>
      </c>
      <c r="S303" s="8" t="s">
        <v>924</v>
      </c>
      <c r="T303" s="8" t="s">
        <v>69</v>
      </c>
      <c r="U303" s="28">
        <f>VLOOKUP($L303,Tabla1[#All],4,FALSE)</f>
        <v>20.832884</v>
      </c>
      <c r="V303" s="28">
        <f>VLOOKUP($L303,Tabla1[#All],5,FALSE)</f>
        <v>-75.736881999999994</v>
      </c>
      <c r="W303" s="43" t="s">
        <v>1717</v>
      </c>
    </row>
    <row r="304" spans="2:23" ht="15.6" customHeight="1">
      <c r="B304" s="8">
        <v>2783</v>
      </c>
      <c r="C304" s="16" t="str">
        <f t="shared" si="16"/>
        <v>2783-3351</v>
      </c>
      <c r="D304" s="8">
        <v>24013351</v>
      </c>
      <c r="E304" s="8" t="str">
        <f t="shared" si="17"/>
        <v>2783 - 3351</v>
      </c>
      <c r="F304" s="12" t="s">
        <v>685</v>
      </c>
      <c r="G304" s="10">
        <v>20.6</v>
      </c>
      <c r="H304" s="8">
        <v>1</v>
      </c>
      <c r="I304" s="13">
        <v>1502.1</v>
      </c>
      <c r="J304" s="12" t="s">
        <v>50</v>
      </c>
      <c r="K304" s="8">
        <v>7101505202</v>
      </c>
      <c r="L304" s="8">
        <v>99051310493</v>
      </c>
      <c r="M304" s="12" t="s">
        <v>686</v>
      </c>
      <c r="N304" s="8" t="s">
        <v>687</v>
      </c>
      <c r="O304" s="11" t="str">
        <f t="shared" si="18"/>
        <v>58510465</v>
      </c>
      <c r="P304" s="11" t="str">
        <f t="shared" si="19"/>
        <v>58510465</v>
      </c>
      <c r="Q304" s="12" t="s">
        <v>1075</v>
      </c>
      <c r="R304" s="8">
        <v>2</v>
      </c>
      <c r="S304" s="8" t="s">
        <v>1042</v>
      </c>
      <c r="T304" s="8" t="s">
        <v>211</v>
      </c>
      <c r="U304" s="28">
        <f>VLOOKUP($L304,Tabla1[#All],4,FALSE)</f>
        <v>22.407945999999999</v>
      </c>
      <c r="V304" s="28">
        <f>VLOOKUP($L304,Tabla1[#All],5,FALSE)</f>
        <v>-79.999701000000002</v>
      </c>
      <c r="W304" s="43" t="s">
        <v>1718</v>
      </c>
    </row>
    <row r="305" spans="2:23" ht="15.6" customHeight="1">
      <c r="B305" s="8">
        <v>2783</v>
      </c>
      <c r="C305" s="16" t="str">
        <f t="shared" si="16"/>
        <v>2783-3379</v>
      </c>
      <c r="D305" s="8">
        <v>24013379</v>
      </c>
      <c r="E305" s="8" t="str">
        <f t="shared" si="17"/>
        <v>2783 - 3379</v>
      </c>
      <c r="F305" s="12" t="s">
        <v>759</v>
      </c>
      <c r="G305" s="55">
        <v>22.7</v>
      </c>
      <c r="H305" s="8">
        <v>1</v>
      </c>
      <c r="I305" s="13">
        <v>1894.8</v>
      </c>
      <c r="J305" s="12" t="s">
        <v>50</v>
      </c>
      <c r="K305" s="8">
        <v>7101505202</v>
      </c>
      <c r="L305" s="8">
        <v>99051702446</v>
      </c>
      <c r="M305" s="12" t="s">
        <v>760</v>
      </c>
      <c r="N305" s="8" t="s">
        <v>761</v>
      </c>
      <c r="O305" s="11" t="str">
        <f t="shared" si="18"/>
        <v>55773714</v>
      </c>
      <c r="P305" s="11" t="str">
        <f t="shared" si="19"/>
        <v>55773714</v>
      </c>
      <c r="Q305" s="12" t="s">
        <v>988</v>
      </c>
      <c r="R305" s="8">
        <v>2</v>
      </c>
      <c r="S305" s="8" t="s">
        <v>966</v>
      </c>
      <c r="T305" s="8" t="s">
        <v>202</v>
      </c>
      <c r="U305" s="28">
        <f>VLOOKUP($L305,Tabla1[#All],4,FALSE)</f>
        <v>22.425122999999999</v>
      </c>
      <c r="V305" s="28">
        <f>VLOOKUP($L305,Tabla1[#All],5,FALSE)</f>
        <v>-83.682953999999995</v>
      </c>
      <c r="W305" s="43" t="s">
        <v>1717</v>
      </c>
    </row>
    <row r="306" spans="2:23" ht="15.6" customHeight="1">
      <c r="B306" s="8">
        <v>2864</v>
      </c>
      <c r="C306" s="16" t="str">
        <f t="shared" si="16"/>
        <v>2864-3608</v>
      </c>
      <c r="D306" s="8">
        <v>24013608</v>
      </c>
      <c r="E306" s="8" t="str">
        <f t="shared" si="17"/>
        <v>2864 - 3608</v>
      </c>
      <c r="F306" s="9" t="s">
        <v>243</v>
      </c>
      <c r="G306" s="10">
        <v>20.2</v>
      </c>
      <c r="H306" s="11">
        <v>1</v>
      </c>
      <c r="I306" s="13">
        <v>1819.2</v>
      </c>
      <c r="J306" s="12" t="s">
        <v>244</v>
      </c>
      <c r="K306" s="11">
        <v>71072105384</v>
      </c>
      <c r="L306" s="11">
        <v>99081710330</v>
      </c>
      <c r="M306" s="12" t="s">
        <v>245</v>
      </c>
      <c r="N306" s="8" t="s">
        <v>246</v>
      </c>
      <c r="O306" s="11" t="str">
        <f t="shared" si="18"/>
        <v>56422612</v>
      </c>
      <c r="P306" s="11" t="str">
        <f t="shared" si="19"/>
        <v>56422612</v>
      </c>
      <c r="Q306" s="12" t="s">
        <v>1073</v>
      </c>
      <c r="R306" s="8">
        <v>2</v>
      </c>
      <c r="S306" s="8" t="s">
        <v>1042</v>
      </c>
      <c r="T306" s="8" t="s">
        <v>211</v>
      </c>
      <c r="U306" s="28">
        <f>VLOOKUP($L306,Tabla1[#All],4,FALSE)</f>
        <v>22.419483</v>
      </c>
      <c r="V306" s="28">
        <f>VLOOKUP($L306,Tabla1[#All],5,FALSE)</f>
        <v>-79.958780000000004</v>
      </c>
      <c r="W306" s="43" t="s">
        <v>1718</v>
      </c>
    </row>
    <row r="307" spans="2:23" ht="15.6" customHeight="1">
      <c r="B307" s="8">
        <v>2794</v>
      </c>
      <c r="C307" s="16" t="str">
        <f t="shared" si="16"/>
        <v>2794-3428</v>
      </c>
      <c r="D307" s="11">
        <v>24013428</v>
      </c>
      <c r="E307" s="8" t="str">
        <f t="shared" si="17"/>
        <v>2794 - 3428</v>
      </c>
      <c r="F307" s="12" t="s">
        <v>284</v>
      </c>
      <c r="G307" s="10">
        <v>25.1</v>
      </c>
      <c r="H307" s="8">
        <v>1</v>
      </c>
      <c r="I307" s="13">
        <v>2083.8000000000002</v>
      </c>
      <c r="J307" s="12" t="s">
        <v>50</v>
      </c>
      <c r="K307" s="8">
        <v>7101505202</v>
      </c>
      <c r="L307" s="8">
        <v>99122702494</v>
      </c>
      <c r="M307" s="12" t="s">
        <v>285</v>
      </c>
      <c r="N307" s="8" t="s">
        <v>286</v>
      </c>
      <c r="O307" s="11" t="str">
        <f t="shared" si="18"/>
        <v>50943745</v>
      </c>
      <c r="P307" s="11" t="str">
        <f t="shared" si="19"/>
        <v>55009433</v>
      </c>
      <c r="Q307" s="12" t="s">
        <v>991</v>
      </c>
      <c r="R307" s="8">
        <v>2</v>
      </c>
      <c r="S307" s="8" t="s">
        <v>966</v>
      </c>
      <c r="T307" s="8" t="s">
        <v>202</v>
      </c>
      <c r="U307" s="28">
        <f>VLOOKUP($L307,Tabla1[#All],4,FALSE)</f>
        <v>22.437584000000001</v>
      </c>
      <c r="V307" s="28">
        <f>VLOOKUP($L307,Tabla1[#All],5,FALSE)</f>
        <v>-83.690079999999995</v>
      </c>
      <c r="W307" s="43" t="s">
        <v>1717</v>
      </c>
    </row>
    <row r="308" spans="2:23" ht="15.6" customHeight="1">
      <c r="B308" s="8">
        <v>2794</v>
      </c>
      <c r="C308" s="16" t="str">
        <f t="shared" si="16"/>
        <v>2794-3429</v>
      </c>
      <c r="D308" s="11">
        <v>24013429</v>
      </c>
      <c r="E308" s="8" t="str">
        <f t="shared" si="17"/>
        <v>2794 - 3429</v>
      </c>
      <c r="F308" s="12" t="s">
        <v>287</v>
      </c>
      <c r="G308" s="10">
        <v>7.2</v>
      </c>
      <c r="H308" s="8">
        <v>1</v>
      </c>
      <c r="I308" s="13">
        <v>295</v>
      </c>
      <c r="J308" s="12" t="s">
        <v>50</v>
      </c>
      <c r="K308" s="8">
        <v>7101505202</v>
      </c>
      <c r="L308" s="8">
        <v>99122702494</v>
      </c>
      <c r="M308" s="12" t="s">
        <v>285</v>
      </c>
      <c r="N308" s="8" t="s">
        <v>286</v>
      </c>
      <c r="O308" s="11" t="str">
        <f t="shared" si="18"/>
        <v>50943745</v>
      </c>
      <c r="P308" s="11" t="str">
        <f t="shared" si="19"/>
        <v>55009433</v>
      </c>
      <c r="Q308" s="12" t="s">
        <v>991</v>
      </c>
      <c r="R308" s="8">
        <v>2</v>
      </c>
      <c r="S308" s="8" t="s">
        <v>966</v>
      </c>
      <c r="T308" s="8" t="s">
        <v>202</v>
      </c>
      <c r="U308" s="28">
        <f>VLOOKUP($L308,Tabla1[#All],4,FALSE)</f>
        <v>22.437584000000001</v>
      </c>
      <c r="V308" s="28">
        <f>VLOOKUP($L308,Tabla1[#All],5,FALSE)</f>
        <v>-83.690079999999995</v>
      </c>
      <c r="W308" s="43" t="s">
        <v>1717</v>
      </c>
    </row>
    <row r="309" spans="2:23" ht="15.6" customHeight="1">
      <c r="G309" s="7">
        <f>SUM(G3:G308)</f>
        <v>5010.3900000000003</v>
      </c>
    </row>
  </sheetData>
  <autoFilter ref="B2:W309" xr:uid="{0D1F230C-28C5-4401-B877-D49397F93E10}">
    <sortState xmlns:xlrd2="http://schemas.microsoft.com/office/spreadsheetml/2017/richdata2" ref="B3:W309">
      <sortCondition ref="L2:L309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3F78-317F-4D07-A52F-E17D4E8EA27E}">
  <dimension ref="B2:W9"/>
  <sheetViews>
    <sheetView workbookViewId="0">
      <selection activeCell="C4" sqref="C4"/>
    </sheetView>
  </sheetViews>
  <sheetFormatPr baseColWidth="10" defaultRowHeight="14.25"/>
  <sheetData>
    <row r="2" spans="2:23" ht="15" thickBot="1"/>
    <row r="3" spans="2:23" ht="32.25" thickBot="1">
      <c r="B3" s="21" t="s">
        <v>269</v>
      </c>
      <c r="C3" s="29" t="s">
        <v>266</v>
      </c>
      <c r="D3" s="22" t="s">
        <v>266</v>
      </c>
      <c r="E3" s="22" t="s">
        <v>266</v>
      </c>
      <c r="F3" s="22" t="s">
        <v>265</v>
      </c>
      <c r="G3" s="22" t="s">
        <v>264</v>
      </c>
      <c r="H3" s="22" t="s">
        <v>263</v>
      </c>
      <c r="I3" s="22" t="s">
        <v>1104</v>
      </c>
      <c r="J3" s="22" t="s">
        <v>262</v>
      </c>
      <c r="K3" s="22" t="s">
        <v>261</v>
      </c>
      <c r="L3" s="22" t="s">
        <v>258</v>
      </c>
      <c r="M3" s="22" t="s">
        <v>259</v>
      </c>
      <c r="N3" s="22" t="s">
        <v>260</v>
      </c>
      <c r="O3" s="22" t="s">
        <v>268</v>
      </c>
      <c r="P3" s="22" t="s">
        <v>267</v>
      </c>
      <c r="Q3" s="22" t="s">
        <v>257</v>
      </c>
      <c r="R3" s="22" t="s">
        <v>256</v>
      </c>
      <c r="S3" s="22" t="s">
        <v>1678</v>
      </c>
      <c r="T3" s="23" t="s">
        <v>1679</v>
      </c>
      <c r="U3" s="26" t="s">
        <v>1196</v>
      </c>
      <c r="V3" s="27" t="s">
        <v>1197</v>
      </c>
      <c r="W3" s="27" t="s">
        <v>1677</v>
      </c>
    </row>
    <row r="4" spans="2:23" ht="150">
      <c r="B4" s="16">
        <v>2794</v>
      </c>
      <c r="C4" s="16" t="s">
        <v>1703</v>
      </c>
      <c r="D4" s="19">
        <v>24013475</v>
      </c>
      <c r="E4" s="16" t="s">
        <v>1704</v>
      </c>
      <c r="F4" s="17" t="s">
        <v>536</v>
      </c>
      <c r="G4" s="18">
        <v>10.3</v>
      </c>
      <c r="H4" s="16">
        <v>1</v>
      </c>
      <c r="I4" s="13">
        <v>821.7</v>
      </c>
      <c r="J4" s="17" t="s">
        <v>50</v>
      </c>
      <c r="K4" s="16">
        <v>7101505202</v>
      </c>
      <c r="L4" s="16">
        <v>88071148699</v>
      </c>
      <c r="M4" s="17" t="s">
        <v>379</v>
      </c>
      <c r="N4" s="16" t="s">
        <v>380</v>
      </c>
      <c r="O4" s="19" t="s">
        <v>1237</v>
      </c>
      <c r="P4" s="19" t="s">
        <v>1237</v>
      </c>
      <c r="Q4" s="17" t="s">
        <v>952</v>
      </c>
      <c r="R4" s="16">
        <v>2</v>
      </c>
      <c r="S4" s="16" t="s">
        <v>919</v>
      </c>
      <c r="T4" s="16" t="s">
        <v>931</v>
      </c>
      <c r="U4" s="28">
        <v>20.251429999999999</v>
      </c>
      <c r="V4" s="28">
        <v>-77.202066000000002</v>
      </c>
      <c r="W4" s="42"/>
    </row>
    <row r="5" spans="2:23" ht="105">
      <c r="B5" s="8">
        <v>2794</v>
      </c>
      <c r="C5" s="16" t="s">
        <v>1705</v>
      </c>
      <c r="D5" s="11">
        <v>24013476</v>
      </c>
      <c r="E5" s="8" t="s">
        <v>1706</v>
      </c>
      <c r="F5" s="12" t="s">
        <v>381</v>
      </c>
      <c r="G5" s="10">
        <v>15.6</v>
      </c>
      <c r="H5" s="8">
        <v>1</v>
      </c>
      <c r="I5" s="13">
        <v>295</v>
      </c>
      <c r="J5" s="12" t="s">
        <v>50</v>
      </c>
      <c r="K5" s="8">
        <v>7101505202</v>
      </c>
      <c r="L5" s="8">
        <v>88071148699</v>
      </c>
      <c r="M5" s="12" t="s">
        <v>379</v>
      </c>
      <c r="N5" s="8" t="s">
        <v>380</v>
      </c>
      <c r="O5" s="11" t="s">
        <v>1237</v>
      </c>
      <c r="P5" s="11" t="s">
        <v>1237</v>
      </c>
      <c r="Q5" s="12" t="s">
        <v>952</v>
      </c>
      <c r="R5" s="8">
        <v>2</v>
      </c>
      <c r="S5" s="8" t="s">
        <v>919</v>
      </c>
      <c r="T5" s="8" t="s">
        <v>931</v>
      </c>
      <c r="U5" s="28">
        <v>20.251429999999999</v>
      </c>
      <c r="V5" s="28">
        <v>-77.202066000000002</v>
      </c>
      <c r="W5" s="43"/>
    </row>
    <row r="6" spans="2:23" ht="75">
      <c r="B6" s="8">
        <v>2794</v>
      </c>
      <c r="C6" s="16" t="s">
        <v>1707</v>
      </c>
      <c r="D6" s="11">
        <v>24013532</v>
      </c>
      <c r="E6" s="8" t="s">
        <v>1708</v>
      </c>
      <c r="F6" s="12" t="s">
        <v>547</v>
      </c>
      <c r="G6" s="10">
        <v>10.199999999999999</v>
      </c>
      <c r="H6" s="8">
        <v>1</v>
      </c>
      <c r="I6" s="13">
        <v>821.7</v>
      </c>
      <c r="J6" s="12" t="s">
        <v>50</v>
      </c>
      <c r="K6" s="8">
        <v>7101505202</v>
      </c>
      <c r="L6" s="8">
        <v>2010980975</v>
      </c>
      <c r="M6" s="12" t="s">
        <v>483</v>
      </c>
      <c r="N6" s="8" t="s">
        <v>484</v>
      </c>
      <c r="O6" s="11" t="s">
        <v>1280</v>
      </c>
      <c r="P6" s="11" t="s">
        <v>1280</v>
      </c>
      <c r="Q6" s="12" t="s">
        <v>956</v>
      </c>
      <c r="R6" s="8">
        <v>2</v>
      </c>
      <c r="S6" s="8" t="s">
        <v>925</v>
      </c>
      <c r="T6" s="8" t="s">
        <v>931</v>
      </c>
      <c r="U6" s="28">
        <v>20.04909</v>
      </c>
      <c r="V6" s="28">
        <v>-77.583377999999996</v>
      </c>
      <c r="W6" s="43"/>
    </row>
    <row r="7" spans="2:23" ht="120">
      <c r="B7" s="8">
        <v>2794</v>
      </c>
      <c r="C7" s="16" t="s">
        <v>1709</v>
      </c>
      <c r="D7" s="11">
        <v>24013533</v>
      </c>
      <c r="E7" s="8" t="s">
        <v>1710</v>
      </c>
      <c r="F7" s="12" t="s">
        <v>543</v>
      </c>
      <c r="G7" s="10">
        <v>22.8</v>
      </c>
      <c r="H7" s="8">
        <v>1</v>
      </c>
      <c r="I7" s="13">
        <v>1857</v>
      </c>
      <c r="J7" s="12" t="s">
        <v>50</v>
      </c>
      <c r="K7" s="8">
        <v>7101505202</v>
      </c>
      <c r="L7" s="8">
        <v>2010980975</v>
      </c>
      <c r="M7" s="12" t="s">
        <v>483</v>
      </c>
      <c r="N7" s="8" t="s">
        <v>484</v>
      </c>
      <c r="O7" s="11" t="s">
        <v>1280</v>
      </c>
      <c r="P7" s="11" t="s">
        <v>1280</v>
      </c>
      <c r="Q7" s="12" t="s">
        <v>956</v>
      </c>
      <c r="R7" s="8">
        <v>2</v>
      </c>
      <c r="S7" s="8" t="s">
        <v>925</v>
      </c>
      <c r="T7" s="8" t="s">
        <v>931</v>
      </c>
      <c r="U7" s="28">
        <v>20.04909</v>
      </c>
      <c r="V7" s="28">
        <v>-77.583377999999996</v>
      </c>
      <c r="W7" s="43"/>
    </row>
    <row r="8" spans="2:23" ht="120">
      <c r="B8" s="8">
        <v>2783</v>
      </c>
      <c r="C8" s="16" t="s">
        <v>1711</v>
      </c>
      <c r="D8" s="8">
        <v>24013319</v>
      </c>
      <c r="E8" s="8" t="s">
        <v>1712</v>
      </c>
      <c r="F8" s="12" t="s">
        <v>621</v>
      </c>
      <c r="G8" s="10">
        <v>2.6</v>
      </c>
      <c r="H8" s="8">
        <v>1</v>
      </c>
      <c r="I8" s="13">
        <v>295</v>
      </c>
      <c r="J8" s="12" t="s">
        <v>50</v>
      </c>
      <c r="K8" s="8">
        <v>7101505202</v>
      </c>
      <c r="L8" s="8">
        <v>85062820287</v>
      </c>
      <c r="M8" s="12" t="s">
        <v>624</v>
      </c>
      <c r="N8" s="8" t="s">
        <v>625</v>
      </c>
      <c r="O8" s="11" t="s">
        <v>1123</v>
      </c>
      <c r="P8" s="11" t="s">
        <v>1123</v>
      </c>
      <c r="Q8" s="12" t="s">
        <v>928</v>
      </c>
      <c r="R8" s="8">
        <v>2</v>
      </c>
      <c r="S8" s="8" t="s">
        <v>913</v>
      </c>
      <c r="T8" s="8" t="s">
        <v>932</v>
      </c>
      <c r="U8" s="28">
        <v>20.896027</v>
      </c>
      <c r="V8" s="28">
        <v>-77.280438000000004</v>
      </c>
      <c r="W8" s="43"/>
    </row>
    <row r="9" spans="2:23" ht="90">
      <c r="B9" s="8">
        <v>2783</v>
      </c>
      <c r="C9" s="16" t="s">
        <v>1713</v>
      </c>
      <c r="D9" s="8">
        <v>24013386</v>
      </c>
      <c r="E9" s="8" t="s">
        <v>1714</v>
      </c>
      <c r="F9" s="12" t="s">
        <v>776</v>
      </c>
      <c r="G9" s="10">
        <v>3.3</v>
      </c>
      <c r="H9" s="8">
        <v>1</v>
      </c>
      <c r="I9" s="13">
        <v>295</v>
      </c>
      <c r="J9" s="12" t="s">
        <v>50</v>
      </c>
      <c r="K9" s="8">
        <v>7101505202</v>
      </c>
      <c r="L9" s="8">
        <v>70062726985</v>
      </c>
      <c r="M9" s="12" t="s">
        <v>777</v>
      </c>
      <c r="N9" s="8" t="s">
        <v>778</v>
      </c>
      <c r="O9" s="11" t="s">
        <v>1176</v>
      </c>
      <c r="P9" s="11" t="s">
        <v>1176</v>
      </c>
      <c r="Q9" s="12" t="s">
        <v>941</v>
      </c>
      <c r="R9" s="8">
        <v>2</v>
      </c>
      <c r="S9" s="8" t="s">
        <v>921</v>
      </c>
      <c r="T9" s="8" t="s">
        <v>932</v>
      </c>
      <c r="U9" s="28">
        <v>21.161014999999999</v>
      </c>
      <c r="V9" s="28">
        <v>-76.477005000000005</v>
      </c>
      <c r="W9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14BF-B643-46F0-9DAA-A9F6A40A0080}">
  <dimension ref="B1:L146"/>
  <sheetViews>
    <sheetView topLeftCell="A92" workbookViewId="0">
      <selection activeCell="K117" sqref="K117"/>
    </sheetView>
  </sheetViews>
  <sheetFormatPr baseColWidth="10" defaultRowHeight="14.25"/>
  <cols>
    <col min="1" max="1" width="1.25" customWidth="1"/>
    <col min="2" max="2" width="9.75" bestFit="1" customWidth="1"/>
    <col min="3" max="3" width="6.5" bestFit="1" customWidth="1"/>
    <col min="4" max="4" width="1.25" customWidth="1"/>
    <col min="5" max="5" width="9.75" bestFit="1" customWidth="1"/>
    <col min="6" max="6" width="6.5" bestFit="1" customWidth="1"/>
    <col min="7" max="7" width="1.375" customWidth="1"/>
    <col min="8" max="8" width="9.75" bestFit="1" customWidth="1"/>
    <col min="9" max="9" width="6.5" bestFit="1" customWidth="1"/>
    <col min="10" max="10" width="1.25" customWidth="1"/>
    <col min="11" max="11" width="9.75" bestFit="1" customWidth="1"/>
    <col min="12" max="12" width="6.5" bestFit="1" customWidth="1"/>
  </cols>
  <sheetData>
    <row r="1" spans="2:12" ht="15" thickBot="1"/>
    <row r="2" spans="2:12" ht="16.149999999999999" customHeight="1" thickBot="1">
      <c r="B2" s="65" t="s">
        <v>1695</v>
      </c>
      <c r="C2" s="66"/>
      <c r="D2" s="66"/>
      <c r="E2" s="66"/>
      <c r="F2" s="66"/>
      <c r="G2" s="66"/>
      <c r="H2" s="66"/>
      <c r="I2" s="66"/>
      <c r="J2" s="66"/>
      <c r="K2" s="66"/>
      <c r="L2" s="67"/>
    </row>
    <row r="3" spans="2:12" ht="32.25" thickBot="1">
      <c r="B3" s="30" t="s">
        <v>266</v>
      </c>
      <c r="C3" s="31" t="s">
        <v>1694</v>
      </c>
      <c r="E3" s="30" t="s">
        <v>266</v>
      </c>
      <c r="F3" s="31" t="s">
        <v>1694</v>
      </c>
      <c r="H3" s="30" t="s">
        <v>266</v>
      </c>
      <c r="I3" s="31" t="s">
        <v>1694</v>
      </c>
      <c r="K3" s="30" t="s">
        <v>266</v>
      </c>
      <c r="L3" s="31" t="s">
        <v>1694</v>
      </c>
    </row>
    <row r="4" spans="2:12" ht="15">
      <c r="B4" s="11">
        <v>24013423</v>
      </c>
      <c r="C4" s="8" t="s">
        <v>79</v>
      </c>
      <c r="E4" s="11">
        <v>24013468</v>
      </c>
      <c r="F4" s="8" t="s">
        <v>185</v>
      </c>
      <c r="H4" s="11">
        <v>24013513</v>
      </c>
      <c r="I4" s="8" t="s">
        <v>104</v>
      </c>
      <c r="K4" s="11">
        <v>24013558</v>
      </c>
      <c r="L4" s="8" t="s">
        <v>1012</v>
      </c>
    </row>
    <row r="5" spans="2:12" ht="15">
      <c r="B5" s="11">
        <v>24013424</v>
      </c>
      <c r="C5" s="8" t="s">
        <v>79</v>
      </c>
      <c r="E5" s="11">
        <v>24013469</v>
      </c>
      <c r="F5" s="8" t="s">
        <v>79</v>
      </c>
      <c r="H5" s="11">
        <v>24013514</v>
      </c>
      <c r="I5" s="8" t="s">
        <v>211</v>
      </c>
      <c r="K5" s="11">
        <v>24013559</v>
      </c>
      <c r="L5" s="8" t="s">
        <v>69</v>
      </c>
    </row>
    <row r="6" spans="2:12" ht="15">
      <c r="B6" s="11">
        <v>24013425</v>
      </c>
      <c r="C6" s="8" t="s">
        <v>63</v>
      </c>
      <c r="E6" s="11">
        <v>24013470</v>
      </c>
      <c r="F6" s="8" t="s">
        <v>185</v>
      </c>
      <c r="H6" s="11">
        <v>24013515</v>
      </c>
      <c r="I6" s="8" t="s">
        <v>358</v>
      </c>
      <c r="K6" s="11">
        <v>24013560</v>
      </c>
      <c r="L6" s="8" t="s">
        <v>530</v>
      </c>
    </row>
    <row r="7" spans="2:12" ht="15">
      <c r="B7" s="11">
        <v>24013426</v>
      </c>
      <c r="C7" s="8" t="s">
        <v>63</v>
      </c>
      <c r="E7" s="11">
        <v>24013471</v>
      </c>
      <c r="F7" s="8" t="s">
        <v>185</v>
      </c>
      <c r="H7" s="11">
        <v>24013516</v>
      </c>
      <c r="I7" s="8" t="s">
        <v>1052</v>
      </c>
      <c r="K7" s="11">
        <v>24013561</v>
      </c>
      <c r="L7" s="8" t="s">
        <v>530</v>
      </c>
    </row>
    <row r="8" spans="2:12" ht="15">
      <c r="B8" s="11">
        <v>24013427</v>
      </c>
      <c r="C8" s="8" t="s">
        <v>1012</v>
      </c>
      <c r="E8" s="11">
        <v>24013472</v>
      </c>
      <c r="F8" s="8" t="s">
        <v>104</v>
      </c>
      <c r="H8" s="11">
        <v>24013517</v>
      </c>
      <c r="I8" s="8" t="s">
        <v>79</v>
      </c>
      <c r="K8" s="11">
        <v>24013562</v>
      </c>
      <c r="L8" s="8" t="s">
        <v>530</v>
      </c>
    </row>
    <row r="9" spans="2:12" ht="15">
      <c r="B9" s="11">
        <v>24013428</v>
      </c>
      <c r="C9" s="8" t="s">
        <v>202</v>
      </c>
      <c r="E9" s="11">
        <v>24013473</v>
      </c>
      <c r="F9" s="8" t="s">
        <v>211</v>
      </c>
      <c r="H9" s="11">
        <v>24013518</v>
      </c>
      <c r="I9" s="8" t="s">
        <v>1012</v>
      </c>
      <c r="K9" s="11">
        <v>24013563</v>
      </c>
      <c r="L9" s="8" t="s">
        <v>79</v>
      </c>
    </row>
    <row r="10" spans="2:12" ht="15">
      <c r="B10" s="11">
        <v>24013429</v>
      </c>
      <c r="C10" s="8" t="s">
        <v>202</v>
      </c>
      <c r="E10" s="11">
        <v>24013474</v>
      </c>
      <c r="F10" s="8" t="s">
        <v>211</v>
      </c>
      <c r="H10" s="11">
        <v>24013519</v>
      </c>
      <c r="I10" s="8" t="s">
        <v>79</v>
      </c>
      <c r="K10" s="11">
        <v>24013564</v>
      </c>
      <c r="L10" s="8" t="s">
        <v>79</v>
      </c>
    </row>
    <row r="11" spans="2:12" ht="15">
      <c r="B11" s="11">
        <v>24013430</v>
      </c>
      <c r="C11" s="8" t="s">
        <v>69</v>
      </c>
      <c r="E11" s="11">
        <v>24013475</v>
      </c>
      <c r="F11" s="8" t="s">
        <v>931</v>
      </c>
      <c r="H11" s="11">
        <v>24013520</v>
      </c>
      <c r="I11" s="8" t="s">
        <v>104</v>
      </c>
      <c r="K11" s="11">
        <v>24013565</v>
      </c>
      <c r="L11" s="8" t="s">
        <v>185</v>
      </c>
    </row>
    <row r="12" spans="2:12" ht="15">
      <c r="B12" s="11">
        <v>24013431</v>
      </c>
      <c r="C12" s="8" t="s">
        <v>69</v>
      </c>
      <c r="E12" s="11">
        <v>24013476</v>
      </c>
      <c r="F12" s="8" t="s">
        <v>931</v>
      </c>
      <c r="H12" s="11">
        <v>24013521</v>
      </c>
      <c r="I12" s="8" t="s">
        <v>202</v>
      </c>
    </row>
    <row r="13" spans="2:12" ht="15">
      <c r="B13" s="11">
        <v>24013432</v>
      </c>
      <c r="C13" s="8" t="s">
        <v>69</v>
      </c>
      <c r="E13" s="11">
        <v>24013477</v>
      </c>
      <c r="F13" s="8" t="s">
        <v>358</v>
      </c>
      <c r="H13" s="11">
        <v>24013522</v>
      </c>
      <c r="I13" s="8" t="s">
        <v>79</v>
      </c>
    </row>
    <row r="14" spans="2:12" ht="15">
      <c r="B14" s="11">
        <v>24013433</v>
      </c>
      <c r="C14" s="8" t="s">
        <v>202</v>
      </c>
      <c r="E14" s="11">
        <v>24013478</v>
      </c>
      <c r="F14" s="8" t="s">
        <v>358</v>
      </c>
      <c r="H14" s="11">
        <v>24013523</v>
      </c>
      <c r="I14" s="8" t="s">
        <v>1052</v>
      </c>
    </row>
    <row r="15" spans="2:12" ht="15">
      <c r="B15" s="11">
        <v>24013434</v>
      </c>
      <c r="C15" s="8" t="s">
        <v>202</v>
      </c>
      <c r="E15" s="11">
        <v>24013479</v>
      </c>
      <c r="F15" s="8" t="s">
        <v>104</v>
      </c>
      <c r="H15" s="11">
        <v>24013524</v>
      </c>
      <c r="I15" s="8" t="s">
        <v>1052</v>
      </c>
    </row>
    <row r="16" spans="2:12" ht="15">
      <c r="B16" s="11">
        <v>24013435</v>
      </c>
      <c r="C16" s="8" t="s">
        <v>202</v>
      </c>
      <c r="E16" s="11">
        <v>24013480</v>
      </c>
      <c r="F16" s="8" t="s">
        <v>1012</v>
      </c>
      <c r="H16" s="11">
        <v>24013525</v>
      </c>
      <c r="I16" s="8" t="s">
        <v>104</v>
      </c>
    </row>
    <row r="17" spans="2:9" ht="15">
      <c r="B17" s="11">
        <v>24013436</v>
      </c>
      <c r="C17" s="8" t="s">
        <v>104</v>
      </c>
      <c r="E17" s="11">
        <v>24013481</v>
      </c>
      <c r="F17" s="8" t="s">
        <v>185</v>
      </c>
      <c r="H17" s="11">
        <v>24013526</v>
      </c>
      <c r="I17" s="8" t="s">
        <v>79</v>
      </c>
    </row>
    <row r="18" spans="2:9" ht="15">
      <c r="B18" s="11">
        <v>24013437</v>
      </c>
      <c r="C18" s="8" t="s">
        <v>1012</v>
      </c>
      <c r="E18" s="11">
        <v>24013482</v>
      </c>
      <c r="F18" s="8" t="s">
        <v>185</v>
      </c>
      <c r="H18" s="11">
        <v>24013527</v>
      </c>
      <c r="I18" s="8" t="s">
        <v>79</v>
      </c>
    </row>
    <row r="19" spans="2:9" ht="15">
      <c r="B19" s="11">
        <v>24013438</v>
      </c>
      <c r="C19" s="8" t="s">
        <v>202</v>
      </c>
      <c r="E19" s="11">
        <v>24013483</v>
      </c>
      <c r="F19" s="8" t="s">
        <v>69</v>
      </c>
      <c r="H19" s="11">
        <v>24013528</v>
      </c>
      <c r="I19" s="8" t="s">
        <v>79</v>
      </c>
    </row>
    <row r="20" spans="2:9" ht="15">
      <c r="B20" s="11">
        <v>24013439</v>
      </c>
      <c r="C20" s="8" t="s">
        <v>202</v>
      </c>
      <c r="E20" s="11">
        <v>24013484</v>
      </c>
      <c r="F20" s="8" t="s">
        <v>79</v>
      </c>
      <c r="H20" s="11">
        <v>24013529</v>
      </c>
      <c r="I20" s="8" t="s">
        <v>69</v>
      </c>
    </row>
    <row r="21" spans="2:9" ht="15">
      <c r="B21" s="11">
        <v>24013440</v>
      </c>
      <c r="C21" s="8" t="s">
        <v>932</v>
      </c>
      <c r="E21" s="11">
        <v>24013485</v>
      </c>
      <c r="F21" s="8" t="s">
        <v>79</v>
      </c>
      <c r="H21" s="11">
        <v>24013530</v>
      </c>
      <c r="I21" s="8" t="s">
        <v>104</v>
      </c>
    </row>
    <row r="22" spans="2:9" ht="15">
      <c r="B22" s="11">
        <v>24013441</v>
      </c>
      <c r="C22" s="8" t="s">
        <v>932</v>
      </c>
      <c r="E22" s="11">
        <v>24013486</v>
      </c>
      <c r="F22" s="8" t="s">
        <v>1052</v>
      </c>
      <c r="H22" s="11">
        <v>24013531</v>
      </c>
      <c r="I22" s="8" t="s">
        <v>79</v>
      </c>
    </row>
    <row r="23" spans="2:9" ht="15">
      <c r="B23" s="11">
        <v>24013442</v>
      </c>
      <c r="C23" s="8" t="s">
        <v>79</v>
      </c>
      <c r="E23" s="11">
        <v>24013487</v>
      </c>
      <c r="F23" s="8" t="s">
        <v>79</v>
      </c>
      <c r="H23" s="11">
        <v>24013532</v>
      </c>
      <c r="I23" s="8" t="s">
        <v>931</v>
      </c>
    </row>
    <row r="24" spans="2:9" ht="15">
      <c r="B24" s="11">
        <v>24013443</v>
      </c>
      <c r="C24" s="8" t="s">
        <v>79</v>
      </c>
      <c r="E24" s="11">
        <v>24013488</v>
      </c>
      <c r="F24" s="8" t="s">
        <v>202</v>
      </c>
      <c r="H24" s="11">
        <v>24013533</v>
      </c>
      <c r="I24" s="8" t="s">
        <v>931</v>
      </c>
    </row>
    <row r="25" spans="2:9" ht="15">
      <c r="B25" s="11">
        <v>24013444</v>
      </c>
      <c r="C25" s="8" t="s">
        <v>79</v>
      </c>
      <c r="E25" s="11">
        <v>24013489</v>
      </c>
      <c r="F25" s="8" t="s">
        <v>104</v>
      </c>
      <c r="H25" s="11">
        <v>24013534</v>
      </c>
      <c r="I25" s="8" t="s">
        <v>202</v>
      </c>
    </row>
    <row r="26" spans="2:9" ht="15">
      <c r="B26" s="11">
        <v>24013445</v>
      </c>
      <c r="C26" s="8" t="s">
        <v>202</v>
      </c>
      <c r="E26" s="11">
        <v>24013490</v>
      </c>
      <c r="F26" s="8" t="s">
        <v>211</v>
      </c>
      <c r="H26" s="11">
        <v>24013535</v>
      </c>
      <c r="I26" s="8" t="s">
        <v>202</v>
      </c>
    </row>
    <row r="27" spans="2:9" ht="15">
      <c r="B27" s="11">
        <v>24013446</v>
      </c>
      <c r="C27" s="8" t="s">
        <v>202</v>
      </c>
      <c r="E27" s="11">
        <v>24013491</v>
      </c>
      <c r="F27" s="8" t="s">
        <v>211</v>
      </c>
      <c r="H27" s="11">
        <v>24013536</v>
      </c>
      <c r="I27" s="8" t="s">
        <v>202</v>
      </c>
    </row>
    <row r="28" spans="2:9" ht="15">
      <c r="B28" s="11">
        <v>24013447</v>
      </c>
      <c r="C28" s="8" t="s">
        <v>104</v>
      </c>
      <c r="E28" s="11">
        <v>24013492</v>
      </c>
      <c r="F28" s="8" t="s">
        <v>931</v>
      </c>
      <c r="H28" s="11">
        <v>24013537</v>
      </c>
      <c r="I28" s="8" t="s">
        <v>202</v>
      </c>
    </row>
    <row r="29" spans="2:9" ht="15">
      <c r="B29" s="11">
        <v>24013448</v>
      </c>
      <c r="C29" s="8" t="s">
        <v>104</v>
      </c>
      <c r="E29" s="11">
        <v>24013493</v>
      </c>
      <c r="F29" s="8" t="s">
        <v>202</v>
      </c>
      <c r="H29" s="11">
        <v>24013538</v>
      </c>
      <c r="I29" s="8" t="s">
        <v>202</v>
      </c>
    </row>
    <row r="30" spans="2:9" ht="15">
      <c r="B30" s="11">
        <v>24013449</v>
      </c>
      <c r="C30" s="8" t="s">
        <v>79</v>
      </c>
      <c r="E30" s="11">
        <v>24013494</v>
      </c>
      <c r="F30" s="8" t="s">
        <v>202</v>
      </c>
      <c r="H30" s="11">
        <v>24013539</v>
      </c>
      <c r="I30" s="8" t="s">
        <v>211</v>
      </c>
    </row>
    <row r="31" spans="2:9" ht="15">
      <c r="B31" s="11">
        <v>24013450</v>
      </c>
      <c r="C31" s="8" t="s">
        <v>104</v>
      </c>
      <c r="E31" s="11">
        <v>24013495</v>
      </c>
      <c r="F31" s="8" t="s">
        <v>202</v>
      </c>
      <c r="H31" s="11">
        <v>24013540</v>
      </c>
      <c r="I31" s="8" t="s">
        <v>202</v>
      </c>
    </row>
    <row r="32" spans="2:9" ht="15">
      <c r="B32" s="11">
        <v>24013451</v>
      </c>
      <c r="C32" s="8" t="s">
        <v>104</v>
      </c>
      <c r="E32" s="11">
        <v>24013496</v>
      </c>
      <c r="F32" s="8" t="s">
        <v>202</v>
      </c>
      <c r="H32" s="11">
        <v>24013541</v>
      </c>
      <c r="I32" s="8" t="s">
        <v>202</v>
      </c>
    </row>
    <row r="33" spans="2:9" ht="15">
      <c r="B33" s="11">
        <v>24013452</v>
      </c>
      <c r="C33" s="8" t="s">
        <v>104</v>
      </c>
      <c r="E33" s="11">
        <v>24013497</v>
      </c>
      <c r="F33" s="8" t="s">
        <v>202</v>
      </c>
      <c r="H33" s="11">
        <v>24013542</v>
      </c>
      <c r="I33" s="8" t="s">
        <v>202</v>
      </c>
    </row>
    <row r="34" spans="2:9" ht="15">
      <c r="B34" s="11">
        <v>24013453</v>
      </c>
      <c r="C34" s="8" t="s">
        <v>104</v>
      </c>
      <c r="E34" s="11">
        <v>24013498</v>
      </c>
      <c r="F34" s="8" t="s">
        <v>202</v>
      </c>
      <c r="H34" s="11">
        <v>24013543</v>
      </c>
      <c r="I34" s="8" t="s">
        <v>202</v>
      </c>
    </row>
    <row r="35" spans="2:9" ht="15">
      <c r="B35" s="11">
        <v>24013454</v>
      </c>
      <c r="C35" s="8" t="s">
        <v>211</v>
      </c>
      <c r="E35" s="11">
        <v>24013499</v>
      </c>
      <c r="F35" s="8" t="s">
        <v>202</v>
      </c>
      <c r="H35" s="11">
        <v>24013544</v>
      </c>
      <c r="I35" s="8" t="s">
        <v>185</v>
      </c>
    </row>
    <row r="36" spans="2:9" ht="15">
      <c r="B36" s="11">
        <v>24013455</v>
      </c>
      <c r="C36" s="8" t="s">
        <v>211</v>
      </c>
      <c r="E36" s="11">
        <v>24013500</v>
      </c>
      <c r="F36" s="8" t="s">
        <v>202</v>
      </c>
      <c r="H36" s="11">
        <v>24013545</v>
      </c>
      <c r="I36" s="8" t="s">
        <v>185</v>
      </c>
    </row>
    <row r="37" spans="2:9" ht="15">
      <c r="B37" s="11">
        <v>24013456</v>
      </c>
      <c r="C37" s="8" t="s">
        <v>69</v>
      </c>
      <c r="E37" s="11">
        <v>24013501</v>
      </c>
      <c r="F37" s="8" t="s">
        <v>202</v>
      </c>
      <c r="H37" s="11">
        <v>24013546</v>
      </c>
      <c r="I37" s="8" t="s">
        <v>185</v>
      </c>
    </row>
    <row r="38" spans="2:9" ht="15">
      <c r="B38" s="11">
        <v>24013457</v>
      </c>
      <c r="C38" s="8" t="s">
        <v>69</v>
      </c>
      <c r="E38" s="11">
        <v>24013502</v>
      </c>
      <c r="F38" s="8" t="s">
        <v>202</v>
      </c>
      <c r="H38" s="11">
        <v>24013547</v>
      </c>
      <c r="I38" s="8" t="s">
        <v>185</v>
      </c>
    </row>
    <row r="39" spans="2:9" ht="15">
      <c r="B39" s="11">
        <v>24013458</v>
      </c>
      <c r="C39" s="8" t="s">
        <v>69</v>
      </c>
      <c r="E39" s="11">
        <v>24013503</v>
      </c>
      <c r="F39" s="8" t="s">
        <v>202</v>
      </c>
      <c r="H39" s="11">
        <v>24013548</v>
      </c>
      <c r="I39" s="8" t="s">
        <v>104</v>
      </c>
    </row>
    <row r="40" spans="2:9" ht="15">
      <c r="B40" s="11">
        <v>24013459</v>
      </c>
      <c r="C40" s="8" t="s">
        <v>69</v>
      </c>
      <c r="E40" s="11">
        <v>24013504</v>
      </c>
      <c r="F40" s="8" t="s">
        <v>79</v>
      </c>
      <c r="H40" s="11">
        <v>24013549</v>
      </c>
      <c r="I40" s="8" t="s">
        <v>69</v>
      </c>
    </row>
    <row r="41" spans="2:9" ht="15">
      <c r="B41" s="11">
        <v>24013460</v>
      </c>
      <c r="C41" s="8" t="s">
        <v>1012</v>
      </c>
      <c r="E41" s="11">
        <v>24013505</v>
      </c>
      <c r="F41" s="8" t="s">
        <v>211</v>
      </c>
      <c r="H41" s="11">
        <v>24013550</v>
      </c>
      <c r="I41" s="8" t="s">
        <v>69</v>
      </c>
    </row>
    <row r="42" spans="2:9" ht="15">
      <c r="B42" s="11">
        <v>24013461</v>
      </c>
      <c r="C42" s="8" t="s">
        <v>211</v>
      </c>
      <c r="E42" s="11">
        <v>24013506</v>
      </c>
      <c r="F42" s="8" t="s">
        <v>202</v>
      </c>
      <c r="H42" s="11">
        <v>24013551</v>
      </c>
      <c r="I42" s="8" t="s">
        <v>69</v>
      </c>
    </row>
    <row r="43" spans="2:9" ht="15">
      <c r="B43" s="11">
        <v>24013462</v>
      </c>
      <c r="C43" s="8" t="s">
        <v>79</v>
      </c>
      <c r="E43" s="11">
        <v>24013507</v>
      </c>
      <c r="F43" s="8" t="s">
        <v>104</v>
      </c>
      <c r="H43" s="11">
        <v>24013552</v>
      </c>
      <c r="I43" s="8" t="s">
        <v>69</v>
      </c>
    </row>
    <row r="44" spans="2:9" ht="15">
      <c r="B44" s="11">
        <v>24013463</v>
      </c>
      <c r="C44" s="8" t="s">
        <v>79</v>
      </c>
      <c r="E44" s="11">
        <v>24013508</v>
      </c>
      <c r="F44" s="8" t="s">
        <v>69</v>
      </c>
      <c r="H44" s="11">
        <v>24013553</v>
      </c>
      <c r="I44" s="8" t="s">
        <v>69</v>
      </c>
    </row>
    <row r="45" spans="2:9" ht="15">
      <c r="B45" s="11">
        <v>24013464</v>
      </c>
      <c r="C45" s="8" t="s">
        <v>358</v>
      </c>
      <c r="E45" s="11">
        <v>24013509</v>
      </c>
      <c r="F45" s="8" t="s">
        <v>185</v>
      </c>
      <c r="H45" s="11">
        <v>24013554</v>
      </c>
      <c r="I45" s="8" t="s">
        <v>69</v>
      </c>
    </row>
    <row r="46" spans="2:9" ht="15">
      <c r="B46" s="11">
        <v>24013465</v>
      </c>
      <c r="C46" s="8" t="s">
        <v>1052</v>
      </c>
      <c r="E46" s="11">
        <v>24013510</v>
      </c>
      <c r="F46" s="8" t="s">
        <v>185</v>
      </c>
      <c r="H46" s="11">
        <v>24013555</v>
      </c>
      <c r="I46" s="8" t="s">
        <v>69</v>
      </c>
    </row>
    <row r="47" spans="2:9" ht="15">
      <c r="B47" s="11">
        <v>24013466</v>
      </c>
      <c r="C47" s="8" t="s">
        <v>1052</v>
      </c>
      <c r="E47" s="11">
        <v>24013511</v>
      </c>
      <c r="F47" s="8" t="s">
        <v>185</v>
      </c>
      <c r="H47" s="11">
        <v>24013556</v>
      </c>
      <c r="I47" s="8" t="s">
        <v>79</v>
      </c>
    </row>
    <row r="48" spans="2:9" ht="15">
      <c r="B48" s="11">
        <v>24013467</v>
      </c>
      <c r="C48" s="8" t="s">
        <v>185</v>
      </c>
      <c r="E48" s="11">
        <v>24013512</v>
      </c>
      <c r="F48" s="8" t="s">
        <v>185</v>
      </c>
      <c r="H48" s="11">
        <v>24013557</v>
      </c>
      <c r="I48" s="8" t="s">
        <v>79</v>
      </c>
    </row>
    <row r="50" spans="2:6" ht="15" thickBot="1"/>
    <row r="51" spans="2:6" ht="16.149999999999999" customHeight="1" thickBot="1">
      <c r="B51" s="65" t="s">
        <v>12</v>
      </c>
      <c r="C51" s="66"/>
      <c r="D51" s="66"/>
      <c r="E51" s="66"/>
      <c r="F51" s="67"/>
    </row>
    <row r="52" spans="2:6" ht="32.25" thickBot="1">
      <c r="B52" s="30" t="s">
        <v>266</v>
      </c>
      <c r="C52" s="31" t="s">
        <v>1694</v>
      </c>
      <c r="E52" s="30" t="s">
        <v>266</v>
      </c>
      <c r="F52" s="31" t="s">
        <v>1694</v>
      </c>
    </row>
    <row r="53" spans="2:6" ht="15">
      <c r="B53" s="8">
        <v>24013578</v>
      </c>
      <c r="C53" s="8" t="s">
        <v>185</v>
      </c>
      <c r="E53" s="8">
        <v>24013639</v>
      </c>
      <c r="F53" s="8" t="s">
        <v>1012</v>
      </c>
    </row>
    <row r="54" spans="2:6" ht="15">
      <c r="B54" s="8">
        <v>24013579</v>
      </c>
      <c r="C54" s="8" t="s">
        <v>202</v>
      </c>
      <c r="E54" s="8">
        <v>24013640</v>
      </c>
      <c r="F54" s="8" t="s">
        <v>1012</v>
      </c>
    </row>
    <row r="55" spans="2:6" ht="15">
      <c r="B55" s="8">
        <v>24013580</v>
      </c>
      <c r="C55" s="8" t="s">
        <v>211</v>
      </c>
      <c r="E55" s="8">
        <v>24013641</v>
      </c>
      <c r="F55" s="8" t="s">
        <v>31</v>
      </c>
    </row>
    <row r="56" spans="2:6" ht="15">
      <c r="B56" s="8">
        <v>24013581</v>
      </c>
      <c r="C56" s="8" t="s">
        <v>211</v>
      </c>
      <c r="E56" s="8">
        <v>24013642</v>
      </c>
      <c r="F56" s="8" t="s">
        <v>31</v>
      </c>
    </row>
    <row r="57" spans="2:6" ht="15">
      <c r="B57" s="8">
        <v>24013582</v>
      </c>
      <c r="C57" s="8" t="s">
        <v>104</v>
      </c>
      <c r="E57" s="8">
        <v>24013643</v>
      </c>
      <c r="F57" s="8" t="s">
        <v>104</v>
      </c>
    </row>
    <row r="58" spans="2:6" ht="15">
      <c r="B58" s="8">
        <v>24013583</v>
      </c>
      <c r="C58" s="8" t="s">
        <v>31</v>
      </c>
      <c r="E58" s="8">
        <v>24013644</v>
      </c>
      <c r="F58" s="8" t="s">
        <v>104</v>
      </c>
    </row>
    <row r="59" spans="2:6" ht="15">
      <c r="B59" s="8">
        <v>24013584</v>
      </c>
      <c r="C59" s="8" t="s">
        <v>31</v>
      </c>
      <c r="E59" s="8">
        <v>24013645</v>
      </c>
      <c r="F59" s="8" t="s">
        <v>1012</v>
      </c>
    </row>
    <row r="60" spans="2:6" ht="15">
      <c r="B60" s="8">
        <v>24013585</v>
      </c>
      <c r="C60" s="8" t="s">
        <v>185</v>
      </c>
      <c r="E60" s="8">
        <v>24013646</v>
      </c>
      <c r="F60" s="8" t="s">
        <v>1012</v>
      </c>
    </row>
    <row r="61" spans="2:6" ht="15">
      <c r="B61" s="8">
        <v>24013586</v>
      </c>
      <c r="C61" s="8" t="s">
        <v>185</v>
      </c>
      <c r="E61" s="8">
        <v>24013647</v>
      </c>
      <c r="F61" s="8" t="s">
        <v>211</v>
      </c>
    </row>
    <row r="62" spans="2:6" ht="15">
      <c r="B62" s="8">
        <v>24013587</v>
      </c>
      <c r="C62" s="8" t="s">
        <v>185</v>
      </c>
      <c r="E62" s="8">
        <v>24013648</v>
      </c>
      <c r="F62" s="8" t="s">
        <v>185</v>
      </c>
    </row>
    <row r="63" spans="2:6" ht="15">
      <c r="B63" s="8">
        <v>24013588</v>
      </c>
      <c r="C63" s="8" t="s">
        <v>211</v>
      </c>
      <c r="E63" s="8">
        <v>24013649</v>
      </c>
      <c r="F63" s="8" t="s">
        <v>211</v>
      </c>
    </row>
    <row r="64" spans="2:6" ht="15">
      <c r="B64" s="8">
        <v>24013589</v>
      </c>
      <c r="C64" s="8" t="s">
        <v>79</v>
      </c>
      <c r="E64" s="8">
        <v>24013650</v>
      </c>
      <c r="F64" s="8" t="s">
        <v>211</v>
      </c>
    </row>
    <row r="65" spans="2:6" ht="15">
      <c r="B65" s="8">
        <v>24013606</v>
      </c>
      <c r="C65" s="8" t="s">
        <v>104</v>
      </c>
      <c r="E65" s="8">
        <v>24013651</v>
      </c>
      <c r="F65" s="8" t="s">
        <v>104</v>
      </c>
    </row>
    <row r="66" spans="2:6" ht="15">
      <c r="B66" s="8">
        <v>24013607</v>
      </c>
      <c r="C66" s="8" t="s">
        <v>1012</v>
      </c>
      <c r="E66" s="8">
        <v>24013652</v>
      </c>
      <c r="F66" s="8" t="s">
        <v>104</v>
      </c>
    </row>
    <row r="67" spans="2:6" ht="15">
      <c r="B67" s="8">
        <v>24013608</v>
      </c>
      <c r="C67" s="8" t="s">
        <v>211</v>
      </c>
      <c r="E67" s="8">
        <v>24013653</v>
      </c>
      <c r="F67" s="8" t="s">
        <v>69</v>
      </c>
    </row>
    <row r="68" spans="2:6" ht="15">
      <c r="B68" s="8">
        <v>24013609</v>
      </c>
      <c r="C68" s="8" t="s">
        <v>63</v>
      </c>
      <c r="E68" s="8">
        <v>24013654</v>
      </c>
      <c r="F68" s="8" t="s">
        <v>104</v>
      </c>
    </row>
    <row r="69" spans="2:6" ht="15">
      <c r="B69" s="8">
        <v>24013610</v>
      </c>
      <c r="C69" s="8" t="s">
        <v>104</v>
      </c>
      <c r="E69" s="8">
        <v>24013655</v>
      </c>
      <c r="F69" s="8" t="s">
        <v>104</v>
      </c>
    </row>
    <row r="70" spans="2:6" ht="15">
      <c r="B70" s="8">
        <v>24013611</v>
      </c>
      <c r="C70" s="8" t="s">
        <v>104</v>
      </c>
      <c r="E70" s="8">
        <v>24013656</v>
      </c>
      <c r="F70" s="8" t="s">
        <v>104</v>
      </c>
    </row>
    <row r="71" spans="2:6" ht="15">
      <c r="B71" s="8">
        <v>24013612</v>
      </c>
      <c r="C71" s="8" t="s">
        <v>104</v>
      </c>
    </row>
    <row r="72" spans="2:6" ht="15">
      <c r="B72" s="8">
        <v>24013613</v>
      </c>
      <c r="C72" s="8" t="s">
        <v>104</v>
      </c>
    </row>
    <row r="73" spans="2:6" ht="15">
      <c r="B73" s="8">
        <v>24013614</v>
      </c>
      <c r="C73" s="8" t="s">
        <v>104</v>
      </c>
    </row>
    <row r="74" spans="2:6" ht="15">
      <c r="B74" s="8">
        <v>24013615</v>
      </c>
      <c r="C74" s="8" t="s">
        <v>211</v>
      </c>
    </row>
    <row r="75" spans="2:6" ht="15">
      <c r="B75" s="8">
        <v>24013616</v>
      </c>
      <c r="C75" s="8" t="s">
        <v>104</v>
      </c>
    </row>
    <row r="76" spans="2:6" ht="15">
      <c r="B76" s="8">
        <v>24013617</v>
      </c>
      <c r="C76" s="8" t="s">
        <v>104</v>
      </c>
    </row>
    <row r="77" spans="2:6" ht="15">
      <c r="B77" s="8">
        <v>24013618</v>
      </c>
      <c r="C77" s="8" t="s">
        <v>931</v>
      </c>
    </row>
    <row r="78" spans="2:6" ht="15">
      <c r="B78" s="8">
        <v>24013619</v>
      </c>
      <c r="C78" s="8" t="s">
        <v>202</v>
      </c>
    </row>
    <row r="79" spans="2:6" ht="15">
      <c r="B79" s="8">
        <v>24013620</v>
      </c>
      <c r="C79" s="8" t="s">
        <v>202</v>
      </c>
    </row>
    <row r="80" spans="2:6" ht="15">
      <c r="B80" s="8">
        <v>24013621</v>
      </c>
      <c r="C80" s="8" t="s">
        <v>69</v>
      </c>
    </row>
    <row r="81" spans="2:3" ht="15">
      <c r="B81" s="8">
        <v>24013622</v>
      </c>
      <c r="C81" s="8" t="s">
        <v>79</v>
      </c>
    </row>
    <row r="82" spans="2:3" ht="15">
      <c r="B82" s="8">
        <v>24013623</v>
      </c>
      <c r="C82" s="8" t="s">
        <v>31</v>
      </c>
    </row>
    <row r="83" spans="2:3" ht="15">
      <c r="B83" s="8">
        <v>24013624</v>
      </c>
      <c r="C83" s="8" t="s">
        <v>31</v>
      </c>
    </row>
    <row r="84" spans="2:3" ht="15">
      <c r="B84" s="8">
        <v>24013625</v>
      </c>
      <c r="C84" s="8" t="s">
        <v>31</v>
      </c>
    </row>
    <row r="85" spans="2:3" ht="15">
      <c r="B85" s="8">
        <v>24013626</v>
      </c>
      <c r="C85" s="8" t="s">
        <v>31</v>
      </c>
    </row>
    <row r="86" spans="2:3" ht="15">
      <c r="B86" s="8">
        <v>24013627</v>
      </c>
      <c r="C86" s="8" t="s">
        <v>31</v>
      </c>
    </row>
    <row r="87" spans="2:3" ht="15">
      <c r="B87" s="8">
        <v>24013628</v>
      </c>
      <c r="C87" s="8" t="s">
        <v>31</v>
      </c>
    </row>
    <row r="88" spans="2:3" ht="15">
      <c r="B88" s="8">
        <v>24013629</v>
      </c>
      <c r="C88" s="8" t="s">
        <v>104</v>
      </c>
    </row>
    <row r="89" spans="2:3" ht="15">
      <c r="B89" s="8">
        <v>24013630</v>
      </c>
      <c r="C89" s="8" t="s">
        <v>104</v>
      </c>
    </row>
    <row r="90" spans="2:3" ht="15">
      <c r="B90" s="8">
        <v>24013631</v>
      </c>
      <c r="C90" s="8" t="s">
        <v>211</v>
      </c>
    </row>
    <row r="91" spans="2:3" ht="15">
      <c r="B91" s="8">
        <v>24013632</v>
      </c>
      <c r="C91" s="8" t="s">
        <v>1052</v>
      </c>
    </row>
    <row r="92" spans="2:3" ht="15">
      <c r="B92" s="8">
        <v>24013633</v>
      </c>
      <c r="C92" s="8" t="s">
        <v>211</v>
      </c>
    </row>
    <row r="93" spans="2:3" ht="15">
      <c r="B93" s="8">
        <v>24013634</v>
      </c>
      <c r="C93" s="8" t="s">
        <v>211</v>
      </c>
    </row>
    <row r="94" spans="2:3" ht="15">
      <c r="B94" s="8">
        <v>24013635</v>
      </c>
      <c r="C94" s="8" t="s">
        <v>104</v>
      </c>
    </row>
    <row r="95" spans="2:3" ht="15">
      <c r="B95" s="8">
        <v>24013636</v>
      </c>
      <c r="C95" s="8" t="s">
        <v>104</v>
      </c>
    </row>
    <row r="96" spans="2:3" ht="15">
      <c r="B96" s="8">
        <v>24013637</v>
      </c>
      <c r="C96" s="8" t="s">
        <v>104</v>
      </c>
    </row>
    <row r="97" spans="2:9" ht="15">
      <c r="B97" s="8">
        <v>24013638</v>
      </c>
      <c r="C97" s="8" t="s">
        <v>931</v>
      </c>
    </row>
    <row r="99" spans="2:9" ht="15" thickBot="1"/>
    <row r="100" spans="2:9" ht="16.149999999999999" customHeight="1" thickBot="1">
      <c r="B100" s="65" t="s">
        <v>1696</v>
      </c>
      <c r="C100" s="66"/>
      <c r="D100" s="66"/>
      <c r="E100" s="66"/>
      <c r="F100" s="66"/>
      <c r="G100" s="66"/>
      <c r="H100" s="66"/>
      <c r="I100" s="67"/>
    </row>
    <row r="101" spans="2:9" ht="32.25" thickBot="1">
      <c r="B101" s="32" t="s">
        <v>266</v>
      </c>
      <c r="C101" s="31" t="s">
        <v>1694</v>
      </c>
      <c r="E101" s="32" t="s">
        <v>266</v>
      </c>
      <c r="F101" s="31" t="s">
        <v>1694</v>
      </c>
      <c r="H101" s="32" t="s">
        <v>266</v>
      </c>
      <c r="I101" s="31" t="s">
        <v>1694</v>
      </c>
    </row>
    <row r="102" spans="2:9" ht="15">
      <c r="B102" s="16">
        <v>24013307</v>
      </c>
      <c r="C102" s="16" t="s">
        <v>104</v>
      </c>
      <c r="E102" s="8">
        <v>24013352</v>
      </c>
      <c r="F102" s="8" t="s">
        <v>104</v>
      </c>
      <c r="H102" s="8">
        <v>24013412</v>
      </c>
      <c r="I102" s="8" t="s">
        <v>185</v>
      </c>
    </row>
    <row r="103" spans="2:9" ht="15">
      <c r="B103" s="8">
        <v>24013308</v>
      </c>
      <c r="C103" s="8" t="s">
        <v>69</v>
      </c>
      <c r="E103" s="8">
        <v>24013353</v>
      </c>
      <c r="F103" s="8" t="s">
        <v>104</v>
      </c>
      <c r="H103" s="8">
        <v>24013413</v>
      </c>
      <c r="I103" s="8" t="s">
        <v>104</v>
      </c>
    </row>
    <row r="104" spans="2:9" ht="15">
      <c r="B104" s="8">
        <v>24013309</v>
      </c>
      <c r="C104" s="8" t="s">
        <v>69</v>
      </c>
      <c r="E104" s="8">
        <v>24013354</v>
      </c>
      <c r="F104" s="8" t="s">
        <v>211</v>
      </c>
      <c r="H104" s="8">
        <v>24013414</v>
      </c>
      <c r="I104" s="8" t="s">
        <v>104</v>
      </c>
    </row>
    <row r="105" spans="2:9" ht="15">
      <c r="B105" s="8">
        <v>24013310</v>
      </c>
      <c r="C105" s="8" t="s">
        <v>358</v>
      </c>
      <c r="E105" s="8">
        <v>24013355</v>
      </c>
      <c r="F105" s="8" t="s">
        <v>211</v>
      </c>
      <c r="H105" s="8">
        <v>24013415</v>
      </c>
      <c r="I105" s="8" t="s">
        <v>185</v>
      </c>
    </row>
    <row r="106" spans="2:9" ht="15">
      <c r="B106" s="8">
        <v>24013311</v>
      </c>
      <c r="C106" s="8" t="s">
        <v>63</v>
      </c>
      <c r="E106" s="8">
        <v>24013356</v>
      </c>
      <c r="F106" s="8" t="s">
        <v>202</v>
      </c>
      <c r="H106" s="8">
        <v>24013416</v>
      </c>
      <c r="I106" s="8" t="s">
        <v>358</v>
      </c>
    </row>
    <row r="107" spans="2:9" ht="15">
      <c r="B107" s="8">
        <v>24013312</v>
      </c>
      <c r="C107" s="8" t="s">
        <v>104</v>
      </c>
      <c r="E107" s="8">
        <v>24013357</v>
      </c>
      <c r="F107" s="8" t="s">
        <v>104</v>
      </c>
      <c r="H107" s="8">
        <v>24013417</v>
      </c>
      <c r="I107" s="8" t="s">
        <v>211</v>
      </c>
    </row>
    <row r="108" spans="2:9" ht="15">
      <c r="B108" s="8">
        <v>24013313</v>
      </c>
      <c r="C108" s="8" t="s">
        <v>104</v>
      </c>
      <c r="E108" s="8">
        <v>24013358</v>
      </c>
      <c r="F108" s="8" t="s">
        <v>69</v>
      </c>
      <c r="H108" s="8">
        <v>24013418</v>
      </c>
      <c r="I108" s="8" t="s">
        <v>211</v>
      </c>
    </row>
    <row r="109" spans="2:9" ht="15">
      <c r="B109" s="8">
        <v>24013314</v>
      </c>
      <c r="C109" s="8" t="s">
        <v>185</v>
      </c>
      <c r="E109" s="8">
        <v>24013359</v>
      </c>
      <c r="F109" s="8" t="s">
        <v>69</v>
      </c>
      <c r="H109" s="8">
        <v>24013419</v>
      </c>
      <c r="I109" s="8" t="s">
        <v>211</v>
      </c>
    </row>
    <row r="110" spans="2:9" ht="15">
      <c r="B110" s="8">
        <v>24013315</v>
      </c>
      <c r="C110" s="8" t="s">
        <v>104</v>
      </c>
      <c r="E110" s="8">
        <v>24013360</v>
      </c>
      <c r="F110" s="8" t="s">
        <v>202</v>
      </c>
      <c r="H110" s="8">
        <v>24013420</v>
      </c>
      <c r="I110" s="8" t="s">
        <v>69</v>
      </c>
    </row>
    <row r="111" spans="2:9" ht="15">
      <c r="B111" s="8">
        <v>24013316</v>
      </c>
      <c r="C111" s="8" t="s">
        <v>104</v>
      </c>
      <c r="E111" s="8">
        <v>24013361</v>
      </c>
      <c r="F111" s="8" t="s">
        <v>1012</v>
      </c>
      <c r="H111" s="8">
        <v>24013421</v>
      </c>
      <c r="I111" s="8" t="s">
        <v>931</v>
      </c>
    </row>
    <row r="112" spans="2:9" ht="15">
      <c r="B112" s="8">
        <v>24013317</v>
      </c>
      <c r="C112" s="8" t="s">
        <v>1052</v>
      </c>
      <c r="E112" s="8">
        <v>24013362</v>
      </c>
      <c r="F112" s="8" t="s">
        <v>1012</v>
      </c>
      <c r="H112" s="8">
        <v>24013422</v>
      </c>
      <c r="I112" s="8" t="s">
        <v>104</v>
      </c>
    </row>
    <row r="113" spans="2:6" ht="15">
      <c r="B113" s="8">
        <v>24013318</v>
      </c>
      <c r="C113" s="8" t="s">
        <v>79</v>
      </c>
      <c r="E113" s="8">
        <v>24013363</v>
      </c>
      <c r="F113" s="8" t="s">
        <v>211</v>
      </c>
    </row>
    <row r="114" spans="2:6" ht="15">
      <c r="B114" s="8">
        <v>24013319</v>
      </c>
      <c r="C114" s="8" t="s">
        <v>932</v>
      </c>
      <c r="E114" s="8">
        <v>24013364</v>
      </c>
      <c r="F114" s="8" t="s">
        <v>1052</v>
      </c>
    </row>
    <row r="115" spans="2:6" ht="15">
      <c r="B115" s="8">
        <v>24013320</v>
      </c>
      <c r="C115" s="8" t="s">
        <v>104</v>
      </c>
      <c r="E115" s="8">
        <v>24013365</v>
      </c>
      <c r="F115" s="8" t="s">
        <v>69</v>
      </c>
    </row>
    <row r="116" spans="2:6" ht="15">
      <c r="B116" s="8">
        <v>24013321</v>
      </c>
      <c r="C116" s="8" t="s">
        <v>104</v>
      </c>
      <c r="E116" s="8">
        <v>24013366</v>
      </c>
      <c r="F116" s="8" t="s">
        <v>69</v>
      </c>
    </row>
    <row r="117" spans="2:6" ht="15">
      <c r="B117" s="8">
        <v>24013322</v>
      </c>
      <c r="C117" s="8" t="s">
        <v>79</v>
      </c>
      <c r="E117" s="8">
        <v>24013367</v>
      </c>
      <c r="F117" s="8" t="s">
        <v>931</v>
      </c>
    </row>
    <row r="118" spans="2:6" ht="15">
      <c r="B118" s="8">
        <v>24013323</v>
      </c>
      <c r="C118" s="8" t="s">
        <v>104</v>
      </c>
      <c r="E118" s="8">
        <v>24013368</v>
      </c>
      <c r="F118" s="8" t="s">
        <v>211</v>
      </c>
    </row>
    <row r="119" spans="2:6" ht="15">
      <c r="B119" s="8">
        <v>24013324</v>
      </c>
      <c r="C119" s="8" t="s">
        <v>104</v>
      </c>
      <c r="E119" s="8">
        <v>24013369</v>
      </c>
      <c r="F119" s="8" t="s">
        <v>1012</v>
      </c>
    </row>
    <row r="120" spans="2:6" ht="15">
      <c r="B120" s="8">
        <v>24013325</v>
      </c>
      <c r="C120" s="8" t="s">
        <v>69</v>
      </c>
      <c r="E120" s="8">
        <v>24013370</v>
      </c>
      <c r="F120" s="8" t="s">
        <v>202</v>
      </c>
    </row>
    <row r="121" spans="2:6" ht="15">
      <c r="B121" s="8">
        <v>24013326</v>
      </c>
      <c r="C121" s="8" t="s">
        <v>69</v>
      </c>
      <c r="E121" s="8">
        <v>24013371</v>
      </c>
      <c r="F121" s="8" t="s">
        <v>185</v>
      </c>
    </row>
    <row r="122" spans="2:6" ht="15">
      <c r="B122" s="8">
        <v>24013327</v>
      </c>
      <c r="C122" s="8" t="s">
        <v>79</v>
      </c>
      <c r="E122" s="8">
        <v>24013372</v>
      </c>
      <c r="F122" s="8" t="s">
        <v>835</v>
      </c>
    </row>
    <row r="123" spans="2:6" ht="15">
      <c r="B123" s="8">
        <v>24013328</v>
      </c>
      <c r="C123" s="8" t="s">
        <v>79</v>
      </c>
      <c r="E123" s="8">
        <v>24013373</v>
      </c>
      <c r="F123" s="8" t="s">
        <v>69</v>
      </c>
    </row>
    <row r="124" spans="2:6" ht="15">
      <c r="B124" s="8">
        <v>24013329</v>
      </c>
      <c r="C124" s="8" t="s">
        <v>79</v>
      </c>
      <c r="E124" s="8">
        <v>24013374</v>
      </c>
      <c r="F124" s="8" t="s">
        <v>202</v>
      </c>
    </row>
    <row r="125" spans="2:6" ht="15">
      <c r="B125" s="8">
        <v>24013330</v>
      </c>
      <c r="C125" s="8" t="s">
        <v>31</v>
      </c>
      <c r="E125" s="8">
        <v>24013375</v>
      </c>
      <c r="F125" s="8" t="s">
        <v>202</v>
      </c>
    </row>
    <row r="126" spans="2:6" ht="15">
      <c r="B126" s="8">
        <v>24013331</v>
      </c>
      <c r="C126" s="8" t="s">
        <v>31</v>
      </c>
      <c r="E126" s="8">
        <v>24013376</v>
      </c>
      <c r="F126" s="8" t="s">
        <v>202</v>
      </c>
    </row>
    <row r="127" spans="2:6" ht="15">
      <c r="B127" s="8">
        <v>24013332</v>
      </c>
      <c r="C127" s="8" t="s">
        <v>202</v>
      </c>
      <c r="E127" s="8">
        <v>24013377</v>
      </c>
      <c r="F127" s="8" t="s">
        <v>104</v>
      </c>
    </row>
    <row r="128" spans="2:6" ht="15">
      <c r="B128" s="8">
        <v>24013333</v>
      </c>
      <c r="C128" s="8" t="s">
        <v>185</v>
      </c>
      <c r="E128" s="8">
        <v>24013378</v>
      </c>
      <c r="F128" s="8" t="s">
        <v>69</v>
      </c>
    </row>
    <row r="129" spans="2:6" ht="15">
      <c r="B129" s="8">
        <v>24013334</v>
      </c>
      <c r="C129" s="8" t="s">
        <v>211</v>
      </c>
      <c r="E129" s="8">
        <v>24013379</v>
      </c>
      <c r="F129" s="8" t="s">
        <v>202</v>
      </c>
    </row>
    <row r="130" spans="2:6" ht="15">
      <c r="B130" s="8">
        <v>24013335</v>
      </c>
      <c r="C130" s="8" t="s">
        <v>211</v>
      </c>
      <c r="E130" s="8">
        <v>24013380</v>
      </c>
      <c r="F130" s="8" t="s">
        <v>104</v>
      </c>
    </row>
    <row r="131" spans="2:6" ht="15">
      <c r="B131" s="8">
        <v>24013336</v>
      </c>
      <c r="C131" s="8" t="s">
        <v>185</v>
      </c>
      <c r="E131" s="8">
        <v>24013381</v>
      </c>
      <c r="F131" s="8" t="s">
        <v>185</v>
      </c>
    </row>
    <row r="132" spans="2:6" ht="15">
      <c r="B132" s="8">
        <v>24013337</v>
      </c>
      <c r="C132" s="8" t="s">
        <v>79</v>
      </c>
      <c r="E132" s="8">
        <v>24013382</v>
      </c>
      <c r="F132" s="8" t="s">
        <v>211</v>
      </c>
    </row>
    <row r="133" spans="2:6" ht="15">
      <c r="B133" s="8">
        <v>24013338</v>
      </c>
      <c r="C133" s="8" t="s">
        <v>79</v>
      </c>
      <c r="E133" s="8">
        <v>24013383</v>
      </c>
      <c r="F133" s="8" t="s">
        <v>211</v>
      </c>
    </row>
    <row r="134" spans="2:6" ht="15">
      <c r="B134" s="8">
        <v>24013339</v>
      </c>
      <c r="C134" s="8" t="s">
        <v>79</v>
      </c>
      <c r="E134" s="8">
        <v>24013384</v>
      </c>
      <c r="F134" s="8" t="s">
        <v>931</v>
      </c>
    </row>
    <row r="135" spans="2:6" ht="15">
      <c r="B135" s="8">
        <v>24013340</v>
      </c>
      <c r="C135" s="8" t="s">
        <v>931</v>
      </c>
      <c r="E135" s="8">
        <v>24013385</v>
      </c>
      <c r="F135" s="8" t="s">
        <v>79</v>
      </c>
    </row>
    <row r="136" spans="2:6" ht="15">
      <c r="B136" s="8">
        <v>24013341</v>
      </c>
      <c r="C136" s="8" t="s">
        <v>104</v>
      </c>
      <c r="E136" s="8">
        <v>24013386</v>
      </c>
      <c r="F136" s="8" t="s">
        <v>932</v>
      </c>
    </row>
    <row r="137" spans="2:6" ht="15">
      <c r="B137" s="8">
        <v>24013342</v>
      </c>
      <c r="C137" s="8" t="s">
        <v>1012</v>
      </c>
      <c r="E137" s="8">
        <v>24013387</v>
      </c>
      <c r="F137" s="8" t="s">
        <v>211</v>
      </c>
    </row>
    <row r="138" spans="2:6" ht="15">
      <c r="B138" s="8">
        <v>24013343</v>
      </c>
      <c r="C138" s="8" t="s">
        <v>104</v>
      </c>
      <c r="E138" s="8">
        <v>24013388</v>
      </c>
      <c r="F138" s="8" t="s">
        <v>931</v>
      </c>
    </row>
    <row r="139" spans="2:6" ht="15">
      <c r="B139" s="8">
        <v>24013344</v>
      </c>
      <c r="C139" s="8" t="s">
        <v>104</v>
      </c>
      <c r="E139" s="8">
        <v>24013389</v>
      </c>
      <c r="F139" s="8" t="s">
        <v>931</v>
      </c>
    </row>
    <row r="140" spans="2:6" ht="15">
      <c r="B140" s="8">
        <v>24013345</v>
      </c>
      <c r="C140" s="8" t="s">
        <v>202</v>
      </c>
      <c r="E140" s="8">
        <v>24013390</v>
      </c>
      <c r="F140" s="8" t="s">
        <v>202</v>
      </c>
    </row>
    <row r="141" spans="2:6" ht="15">
      <c r="B141" s="8">
        <v>24013346</v>
      </c>
      <c r="C141" s="8" t="s">
        <v>202</v>
      </c>
      <c r="E141" s="8">
        <v>24013391</v>
      </c>
      <c r="F141" s="8" t="s">
        <v>104</v>
      </c>
    </row>
    <row r="142" spans="2:6" ht="15">
      <c r="B142" s="8">
        <v>24013347</v>
      </c>
      <c r="C142" s="8" t="s">
        <v>185</v>
      </c>
      <c r="E142" s="8">
        <v>24013392</v>
      </c>
      <c r="F142" s="8" t="s">
        <v>104</v>
      </c>
    </row>
    <row r="143" spans="2:6" ht="15">
      <c r="B143" s="8">
        <v>24013348</v>
      </c>
      <c r="C143" s="8" t="s">
        <v>104</v>
      </c>
      <c r="E143" s="8">
        <v>24013409</v>
      </c>
      <c r="F143" s="8" t="s">
        <v>69</v>
      </c>
    </row>
    <row r="144" spans="2:6" ht="15">
      <c r="B144" s="8">
        <v>24013349</v>
      </c>
      <c r="C144" s="8" t="s">
        <v>185</v>
      </c>
      <c r="E144" s="8">
        <v>24013410</v>
      </c>
      <c r="F144" s="8" t="s">
        <v>185</v>
      </c>
    </row>
    <row r="145" spans="2:6" ht="15">
      <c r="B145" s="8">
        <v>24013350</v>
      </c>
      <c r="C145" s="8" t="s">
        <v>1012</v>
      </c>
      <c r="E145" s="8">
        <v>24013411</v>
      </c>
      <c r="F145" s="8" t="s">
        <v>185</v>
      </c>
    </row>
    <row r="146" spans="2:6" ht="15">
      <c r="B146" s="8">
        <v>24013351</v>
      </c>
      <c r="C146" s="8" t="s">
        <v>211</v>
      </c>
    </row>
  </sheetData>
  <mergeCells count="3">
    <mergeCell ref="B2:L2"/>
    <mergeCell ref="B51:F51"/>
    <mergeCell ref="B100:I10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0CB5-2A16-412C-AA83-81240783BB68}">
  <dimension ref="B2:O66"/>
  <sheetViews>
    <sheetView workbookViewId="0">
      <selection activeCell="J7" sqref="J7"/>
    </sheetView>
  </sheetViews>
  <sheetFormatPr baseColWidth="10" defaultRowHeight="14.25"/>
  <cols>
    <col min="6" max="6" width="17.75" customWidth="1"/>
    <col min="7" max="7" width="40.125" customWidth="1"/>
    <col min="8" max="8" width="19.75" customWidth="1"/>
    <col min="9" max="9" width="17.5" customWidth="1"/>
    <col min="10" max="10" width="70.125" customWidth="1"/>
    <col min="11" max="11" width="18.5" customWidth="1"/>
    <col min="12" max="12" width="14.875" customWidth="1"/>
  </cols>
  <sheetData>
    <row r="2" spans="2:15" ht="15" thickBot="1"/>
    <row r="3" spans="2:15" ht="32.25" thickBot="1">
      <c r="B3" s="21" t="s">
        <v>269</v>
      </c>
      <c r="C3" s="22" t="s">
        <v>266</v>
      </c>
      <c r="D3" s="22" t="s">
        <v>264</v>
      </c>
      <c r="E3" s="22" t="s">
        <v>1104</v>
      </c>
      <c r="F3" s="22" t="s">
        <v>258</v>
      </c>
      <c r="G3" s="22" t="s">
        <v>259</v>
      </c>
      <c r="H3" s="22" t="s">
        <v>268</v>
      </c>
      <c r="I3" s="22" t="s">
        <v>267</v>
      </c>
      <c r="J3" s="22" t="s">
        <v>257</v>
      </c>
      <c r="K3" s="22" t="s">
        <v>1678</v>
      </c>
      <c r="L3" s="23" t="s">
        <v>1679</v>
      </c>
      <c r="M3" s="26" t="s">
        <v>1196</v>
      </c>
      <c r="N3" s="27" t="s">
        <v>1197</v>
      </c>
      <c r="O3" s="27" t="s">
        <v>1677</v>
      </c>
    </row>
    <row r="4" spans="2:15" ht="15">
      <c r="B4" s="8">
        <v>2864</v>
      </c>
      <c r="C4" s="8">
        <v>24013626</v>
      </c>
      <c r="D4" s="10">
        <v>19.399999999999999</v>
      </c>
      <c r="E4" s="13">
        <v>1502.1</v>
      </c>
      <c r="F4" s="11">
        <v>7021166717</v>
      </c>
      <c r="G4" s="12" t="s">
        <v>28</v>
      </c>
      <c r="H4" s="11" t="s">
        <v>1326</v>
      </c>
      <c r="I4" s="11" t="s">
        <v>1327</v>
      </c>
      <c r="J4" s="12" t="s">
        <v>858</v>
      </c>
      <c r="K4" s="8" t="s">
        <v>850</v>
      </c>
      <c r="L4" s="8" t="s">
        <v>31</v>
      </c>
      <c r="M4" s="28">
        <v>22.829782000000002</v>
      </c>
      <c r="N4" s="28">
        <v>-82.744510000000005</v>
      </c>
      <c r="O4" s="15"/>
    </row>
    <row r="5" spans="2:15" ht="15">
      <c r="B5" s="8">
        <v>2864</v>
      </c>
      <c r="C5" s="8">
        <v>24013627</v>
      </c>
      <c r="D5" s="10">
        <v>19.7</v>
      </c>
      <c r="E5" s="13">
        <v>1577.7</v>
      </c>
      <c r="F5" s="11">
        <v>7021166717</v>
      </c>
      <c r="G5" s="12" t="s">
        <v>28</v>
      </c>
      <c r="H5" s="11" t="s">
        <v>1326</v>
      </c>
      <c r="I5" s="11" t="s">
        <v>1327</v>
      </c>
      <c r="J5" s="12" t="s">
        <v>858</v>
      </c>
      <c r="K5" s="8" t="s">
        <v>850</v>
      </c>
      <c r="L5" s="8" t="s">
        <v>31</v>
      </c>
      <c r="M5" s="28">
        <v>22.829782000000002</v>
      </c>
      <c r="N5" s="28">
        <v>-82.744510000000005</v>
      </c>
      <c r="O5" s="15"/>
    </row>
    <row r="6" spans="2:15" ht="15">
      <c r="B6" s="8">
        <v>2864</v>
      </c>
      <c r="C6" s="8">
        <v>24013628</v>
      </c>
      <c r="D6" s="10">
        <v>19.899999999999999</v>
      </c>
      <c r="E6" s="13">
        <v>1577.7</v>
      </c>
      <c r="F6" s="11">
        <v>62050600610</v>
      </c>
      <c r="G6" s="12" t="s">
        <v>35</v>
      </c>
      <c r="H6" s="11" t="s">
        <v>1328</v>
      </c>
      <c r="I6" s="11" t="s">
        <v>1328</v>
      </c>
      <c r="J6" s="12" t="s">
        <v>859</v>
      </c>
      <c r="K6" s="8" t="s">
        <v>850</v>
      </c>
      <c r="L6" s="8" t="s">
        <v>31</v>
      </c>
      <c r="M6" s="28">
        <v>22.815594000000001</v>
      </c>
      <c r="N6" s="28">
        <v>-82.751733999999999</v>
      </c>
      <c r="O6" s="15"/>
    </row>
    <row r="7" spans="2:15" ht="15">
      <c r="B7" s="8">
        <v>2864</v>
      </c>
      <c r="C7" s="8">
        <v>24013641</v>
      </c>
      <c r="D7" s="10">
        <v>8.3800000000000008</v>
      </c>
      <c r="E7" s="13">
        <v>670.5</v>
      </c>
      <c r="F7" s="11">
        <v>79080400017</v>
      </c>
      <c r="G7" s="12" t="s">
        <v>39</v>
      </c>
      <c r="H7" s="11" t="s">
        <v>1336</v>
      </c>
      <c r="I7" s="11" t="s">
        <v>1336</v>
      </c>
      <c r="J7" s="12" t="s">
        <v>860</v>
      </c>
      <c r="K7" s="8" t="s">
        <v>850</v>
      </c>
      <c r="L7" s="8" t="s">
        <v>31</v>
      </c>
      <c r="M7" s="28">
        <v>22.814188999999999</v>
      </c>
      <c r="N7" s="28">
        <v>-82.758707999999999</v>
      </c>
      <c r="O7" s="15"/>
    </row>
    <row r="8" spans="2:15" ht="15">
      <c r="B8" s="8">
        <v>2864</v>
      </c>
      <c r="C8" s="8">
        <v>24013642</v>
      </c>
      <c r="D8" s="10">
        <v>6.82</v>
      </c>
      <c r="E8" s="13">
        <v>3142.2</v>
      </c>
      <c r="F8" s="11">
        <v>79080400017</v>
      </c>
      <c r="G8" s="12" t="s">
        <v>39</v>
      </c>
      <c r="H8" s="11" t="s">
        <v>1336</v>
      </c>
      <c r="I8" s="11" t="s">
        <v>1336</v>
      </c>
      <c r="J8" s="12" t="s">
        <v>860</v>
      </c>
      <c r="K8" s="8" t="s">
        <v>850</v>
      </c>
      <c r="L8" s="8" t="s">
        <v>31</v>
      </c>
      <c r="M8" s="28">
        <v>22.814188999999999</v>
      </c>
      <c r="N8" s="28">
        <v>-82.758707999999999</v>
      </c>
      <c r="O8" s="15"/>
    </row>
    <row r="9" spans="2:15" ht="15">
      <c r="B9" s="8">
        <v>2864</v>
      </c>
      <c r="C9" s="8">
        <v>24013623</v>
      </c>
      <c r="D9" s="10">
        <v>19.899999999999999</v>
      </c>
      <c r="E9" s="13">
        <v>1577.7</v>
      </c>
      <c r="F9" s="11">
        <v>1113078583</v>
      </c>
      <c r="G9" s="12" t="s">
        <v>44</v>
      </c>
      <c r="H9" s="11" t="s">
        <v>1325</v>
      </c>
      <c r="I9" s="11" t="s">
        <v>1325</v>
      </c>
      <c r="J9" s="12" t="s">
        <v>857</v>
      </c>
      <c r="K9" s="8" t="s">
        <v>853</v>
      </c>
      <c r="L9" s="8" t="s">
        <v>31</v>
      </c>
      <c r="M9" s="28">
        <v>22.981887</v>
      </c>
      <c r="N9" s="28">
        <v>-82.543105999999995</v>
      </c>
      <c r="O9" s="15"/>
    </row>
    <row r="10" spans="2:15" ht="15">
      <c r="B10" s="8">
        <v>2864</v>
      </c>
      <c r="C10" s="8">
        <v>24013624</v>
      </c>
      <c r="D10" s="10">
        <v>19.7</v>
      </c>
      <c r="E10" s="13">
        <v>670.5</v>
      </c>
      <c r="F10" s="11">
        <v>1113078583</v>
      </c>
      <c r="G10" s="12" t="s">
        <v>44</v>
      </c>
      <c r="H10" s="11" t="s">
        <v>1325</v>
      </c>
      <c r="I10" s="11" t="s">
        <v>1325</v>
      </c>
      <c r="J10" s="12" t="s">
        <v>857</v>
      </c>
      <c r="K10" s="8" t="s">
        <v>853</v>
      </c>
      <c r="L10" s="8" t="s">
        <v>31</v>
      </c>
      <c r="M10" s="28">
        <v>22.981887</v>
      </c>
      <c r="N10" s="28">
        <v>-82.543105999999995</v>
      </c>
      <c r="O10" s="15"/>
    </row>
    <row r="11" spans="2:15" ht="15">
      <c r="B11" s="8">
        <v>2864</v>
      </c>
      <c r="C11" s="8">
        <v>24013625</v>
      </c>
      <c r="D11" s="10">
        <v>19.600000000000001</v>
      </c>
      <c r="E11" s="13">
        <v>1577.7</v>
      </c>
      <c r="F11" s="11">
        <v>1113078583</v>
      </c>
      <c r="G11" s="12" t="s">
        <v>44</v>
      </c>
      <c r="H11" s="11" t="s">
        <v>1325</v>
      </c>
      <c r="I11" s="11" t="s">
        <v>1325</v>
      </c>
      <c r="J11" s="12" t="s">
        <v>857</v>
      </c>
      <c r="K11" s="8" t="s">
        <v>853</v>
      </c>
      <c r="L11" s="8" t="s">
        <v>31</v>
      </c>
      <c r="M11" s="28">
        <v>22.981887</v>
      </c>
      <c r="N11" s="28">
        <v>-82.543105999999995</v>
      </c>
      <c r="O11" s="15"/>
    </row>
    <row r="12" spans="2:15" ht="15">
      <c r="B12" s="8">
        <v>2864</v>
      </c>
      <c r="C12" s="8">
        <v>24013584</v>
      </c>
      <c r="D12" s="10">
        <v>20.3</v>
      </c>
      <c r="E12" s="13">
        <v>3898.2</v>
      </c>
      <c r="F12" s="11">
        <v>51100123531</v>
      </c>
      <c r="G12" s="12" t="s">
        <v>51</v>
      </c>
      <c r="H12" s="11" t="s">
        <v>1314</v>
      </c>
      <c r="I12" s="11" t="s">
        <v>1314</v>
      </c>
      <c r="J12" s="12" t="s">
        <v>856</v>
      </c>
      <c r="K12" s="8" t="s">
        <v>852</v>
      </c>
      <c r="L12" s="8" t="s">
        <v>31</v>
      </c>
      <c r="M12" s="28">
        <v>22.950195000000001</v>
      </c>
      <c r="N12" s="28">
        <v>-82.593817000000001</v>
      </c>
      <c r="O12" s="15"/>
    </row>
    <row r="13" spans="2:15" ht="30">
      <c r="B13" s="8">
        <v>2864</v>
      </c>
      <c r="C13" s="8">
        <v>24013583</v>
      </c>
      <c r="D13" s="10">
        <v>17.899999999999999</v>
      </c>
      <c r="E13" s="13">
        <v>1426.5</v>
      </c>
      <c r="F13" s="11">
        <v>71052329950</v>
      </c>
      <c r="G13" s="12" t="s">
        <v>55</v>
      </c>
      <c r="H13" s="11" t="s">
        <v>1313</v>
      </c>
      <c r="I13" s="11" t="s">
        <v>1313</v>
      </c>
      <c r="J13" s="12" t="s">
        <v>1682</v>
      </c>
      <c r="K13" s="8" t="s">
        <v>851</v>
      </c>
      <c r="L13" s="8" t="s">
        <v>31</v>
      </c>
      <c r="M13" s="28">
        <v>22.714661</v>
      </c>
      <c r="N13" s="28">
        <v>-83.045163000000002</v>
      </c>
      <c r="O13" s="15"/>
    </row>
    <row r="14" spans="2:15" ht="15">
      <c r="B14" s="8">
        <v>2864</v>
      </c>
      <c r="C14" s="8">
        <v>24013609</v>
      </c>
      <c r="D14" s="10">
        <v>13.86</v>
      </c>
      <c r="E14" s="13">
        <v>1743.6</v>
      </c>
      <c r="F14" s="11">
        <v>73050604116</v>
      </c>
      <c r="G14" s="12" t="s">
        <v>60</v>
      </c>
      <c r="H14" s="11" t="s">
        <v>1319</v>
      </c>
      <c r="I14" s="11" t="s">
        <v>1320</v>
      </c>
      <c r="J14" s="12" t="s">
        <v>866</v>
      </c>
      <c r="K14" s="8" t="s">
        <v>863</v>
      </c>
      <c r="L14" s="8" t="s">
        <v>63</v>
      </c>
      <c r="M14" s="28">
        <v>22.133112300000001</v>
      </c>
      <c r="N14" s="28">
        <v>-80.442728799999998</v>
      </c>
      <c r="O14" s="15"/>
    </row>
    <row r="15" spans="2:15" ht="15">
      <c r="B15" s="8">
        <v>2864</v>
      </c>
      <c r="C15" s="8">
        <v>24013618</v>
      </c>
      <c r="D15" s="10">
        <v>20</v>
      </c>
      <c r="E15" s="13">
        <v>1577.7</v>
      </c>
      <c r="F15" s="11">
        <v>76113014433</v>
      </c>
      <c r="G15" s="12" t="s">
        <v>66</v>
      </c>
      <c r="H15" s="11" t="s">
        <v>1322</v>
      </c>
      <c r="I15" s="11" t="s">
        <v>1322</v>
      </c>
      <c r="J15" s="12" t="s">
        <v>960</v>
      </c>
      <c r="K15" s="8" t="s">
        <v>915</v>
      </c>
      <c r="L15" s="8" t="s">
        <v>931</v>
      </c>
      <c r="M15" s="28">
        <v>20.387584</v>
      </c>
      <c r="N15" s="28">
        <v>-76.646164999999996</v>
      </c>
      <c r="O15" s="15"/>
    </row>
    <row r="16" spans="2:15" ht="30">
      <c r="B16" s="8">
        <v>2864</v>
      </c>
      <c r="C16" s="8">
        <v>24013638</v>
      </c>
      <c r="D16" s="10">
        <v>25</v>
      </c>
      <c r="E16" s="13">
        <v>1932.6</v>
      </c>
      <c r="F16" s="11">
        <v>92980571</v>
      </c>
      <c r="G16" s="12" t="s">
        <v>72</v>
      </c>
      <c r="H16" s="11" t="s">
        <v>1333</v>
      </c>
      <c r="I16" s="11" t="s">
        <v>1334</v>
      </c>
      <c r="J16" s="12" t="s">
        <v>962</v>
      </c>
      <c r="K16" s="8" t="s">
        <v>919</v>
      </c>
      <c r="L16" s="8" t="s">
        <v>931</v>
      </c>
      <c r="M16" s="28">
        <v>20.337520000000001</v>
      </c>
      <c r="N16" s="28">
        <v>-77.136700000000005</v>
      </c>
      <c r="O16" s="15"/>
    </row>
    <row r="17" spans="2:15" ht="15">
      <c r="B17" s="8">
        <v>2864</v>
      </c>
      <c r="C17" s="8">
        <v>24013607</v>
      </c>
      <c r="D17" s="10">
        <v>15.6</v>
      </c>
      <c r="E17" s="13">
        <v>1199.7</v>
      </c>
      <c r="F17" s="11">
        <v>86100428388</v>
      </c>
      <c r="G17" s="12" t="s">
        <v>83</v>
      </c>
      <c r="H17" s="11" t="s">
        <v>1317</v>
      </c>
      <c r="I17" s="11" t="s">
        <v>1317</v>
      </c>
      <c r="J17" s="12" t="s">
        <v>1018</v>
      </c>
      <c r="K17" s="8" t="s">
        <v>1002</v>
      </c>
      <c r="L17" s="8" t="s">
        <v>1012</v>
      </c>
      <c r="M17" s="28">
        <v>20.349919</v>
      </c>
      <c r="N17" s="28">
        <v>-74.509829999999994</v>
      </c>
      <c r="O17" s="15"/>
    </row>
    <row r="18" spans="2:15" ht="15">
      <c r="B18" s="8">
        <v>2864</v>
      </c>
      <c r="C18" s="8">
        <v>24013639</v>
      </c>
      <c r="D18" s="10">
        <v>18.399999999999999</v>
      </c>
      <c r="E18" s="13">
        <v>1426.5</v>
      </c>
      <c r="F18" s="11">
        <v>77070625219</v>
      </c>
      <c r="G18" s="12" t="s">
        <v>76</v>
      </c>
      <c r="H18" s="11" t="s">
        <v>1335</v>
      </c>
      <c r="I18" s="11" t="s">
        <v>1335</v>
      </c>
      <c r="J18" s="12" t="s">
        <v>1036</v>
      </c>
      <c r="K18" s="8" t="s">
        <v>1002</v>
      </c>
      <c r="L18" s="8" t="s">
        <v>1012</v>
      </c>
      <c r="M18" s="28">
        <v>20.347678999999999</v>
      </c>
      <c r="N18" s="28">
        <v>-74.497591</v>
      </c>
      <c r="O18" s="15"/>
    </row>
    <row r="19" spans="2:15" ht="15">
      <c r="B19" s="8">
        <v>2864</v>
      </c>
      <c r="C19" s="8">
        <v>24013640</v>
      </c>
      <c r="D19" s="10">
        <v>14.2</v>
      </c>
      <c r="E19" s="13">
        <v>1010.7</v>
      </c>
      <c r="F19" s="11">
        <v>77070625219</v>
      </c>
      <c r="G19" s="12" t="s">
        <v>76</v>
      </c>
      <c r="H19" s="11" t="s">
        <v>1335</v>
      </c>
      <c r="I19" s="11" t="s">
        <v>1335</v>
      </c>
      <c r="J19" s="12" t="s">
        <v>1036</v>
      </c>
      <c r="K19" s="8" t="s">
        <v>1002</v>
      </c>
      <c r="L19" s="8" t="s">
        <v>1012</v>
      </c>
      <c r="M19" s="28">
        <v>20.347678999999999</v>
      </c>
      <c r="N19" s="28">
        <v>-74.497591</v>
      </c>
      <c r="O19" s="15"/>
    </row>
    <row r="20" spans="2:15" ht="30">
      <c r="B20" s="8">
        <v>2864</v>
      </c>
      <c r="C20" s="8">
        <v>24013645</v>
      </c>
      <c r="D20" s="10">
        <v>24.8</v>
      </c>
      <c r="E20" s="13">
        <v>2008.2</v>
      </c>
      <c r="F20" s="11">
        <v>87112434653</v>
      </c>
      <c r="G20" s="12" t="s">
        <v>87</v>
      </c>
      <c r="H20" s="11" t="s">
        <v>1338</v>
      </c>
      <c r="I20" s="11" t="s">
        <v>1338</v>
      </c>
      <c r="J20" s="12" t="s">
        <v>1020</v>
      </c>
      <c r="K20" s="8" t="s">
        <v>997</v>
      </c>
      <c r="L20" s="8" t="s">
        <v>1012</v>
      </c>
      <c r="M20" s="28">
        <v>20.163029999999999</v>
      </c>
      <c r="N20" s="28">
        <v>-75.218351999999996</v>
      </c>
      <c r="O20" s="15"/>
    </row>
    <row r="21" spans="2:15" ht="30">
      <c r="B21" s="8">
        <v>2864</v>
      </c>
      <c r="C21" s="8">
        <v>24013646</v>
      </c>
      <c r="D21" s="10">
        <v>13.1</v>
      </c>
      <c r="E21" s="13">
        <v>1048.5</v>
      </c>
      <c r="F21" s="11">
        <v>87112434653</v>
      </c>
      <c r="G21" s="12" t="s">
        <v>87</v>
      </c>
      <c r="H21" s="11" t="s">
        <v>1338</v>
      </c>
      <c r="I21" s="11" t="s">
        <v>1338</v>
      </c>
      <c r="J21" s="12" t="s">
        <v>1020</v>
      </c>
      <c r="K21" s="8" t="s">
        <v>997</v>
      </c>
      <c r="L21" s="8" t="s">
        <v>1012</v>
      </c>
      <c r="M21" s="28">
        <v>20.163029999999999</v>
      </c>
      <c r="N21" s="28">
        <v>-75.218351999999996</v>
      </c>
      <c r="O21" s="15"/>
    </row>
    <row r="22" spans="2:15" ht="30">
      <c r="B22" s="8">
        <v>2864</v>
      </c>
      <c r="C22" s="8">
        <v>24013582</v>
      </c>
      <c r="D22" s="10">
        <v>17.600000000000001</v>
      </c>
      <c r="E22" s="13">
        <v>295</v>
      </c>
      <c r="F22" s="11">
        <v>98050106492</v>
      </c>
      <c r="G22" s="12" t="s">
        <v>106</v>
      </c>
      <c r="H22" s="11" t="s">
        <v>1296</v>
      </c>
      <c r="I22" s="11" t="s">
        <v>1296</v>
      </c>
      <c r="J22" s="12" t="s">
        <v>870</v>
      </c>
      <c r="K22" s="8" t="s">
        <v>847</v>
      </c>
      <c r="L22" s="8" t="s">
        <v>104</v>
      </c>
      <c r="M22" s="28">
        <v>23.077244</v>
      </c>
      <c r="N22" s="28">
        <v>-82.363788</v>
      </c>
      <c r="O22" s="15"/>
    </row>
    <row r="23" spans="2:15" ht="30">
      <c r="B23" s="8">
        <v>2864</v>
      </c>
      <c r="C23" s="8">
        <v>24013606</v>
      </c>
      <c r="D23" s="10">
        <v>25.88</v>
      </c>
      <c r="E23" s="13">
        <v>2083.8000000000002</v>
      </c>
      <c r="F23" s="11">
        <v>2031966415</v>
      </c>
      <c r="G23" s="12" t="s">
        <v>101</v>
      </c>
      <c r="H23" s="11" t="s">
        <v>1297</v>
      </c>
      <c r="I23" s="11" t="s">
        <v>1297</v>
      </c>
      <c r="J23" s="12" t="s">
        <v>871</v>
      </c>
      <c r="K23" s="8" t="s">
        <v>847</v>
      </c>
      <c r="L23" s="8" t="s">
        <v>104</v>
      </c>
      <c r="M23" s="28">
        <v>23.065141000000001</v>
      </c>
      <c r="N23" s="28">
        <v>-82.364304000000004</v>
      </c>
      <c r="O23" s="15"/>
    </row>
    <row r="24" spans="2:15" ht="30">
      <c r="B24" s="8">
        <v>2864</v>
      </c>
      <c r="C24" s="8">
        <v>24013630</v>
      </c>
      <c r="D24" s="10">
        <v>2.68</v>
      </c>
      <c r="E24" s="13">
        <v>368.1</v>
      </c>
      <c r="F24" s="11">
        <v>60011300851</v>
      </c>
      <c r="G24" s="12" t="s">
        <v>111</v>
      </c>
      <c r="H24" s="11" t="s">
        <v>1298</v>
      </c>
      <c r="I24" s="11" t="s">
        <v>1298</v>
      </c>
      <c r="J24" s="12" t="s">
        <v>876</v>
      </c>
      <c r="K24" s="8" t="s">
        <v>839</v>
      </c>
      <c r="L24" s="8" t="s">
        <v>104</v>
      </c>
      <c r="M24" s="28">
        <v>22.973935000000001</v>
      </c>
      <c r="N24" s="28">
        <v>-82.380505999999997</v>
      </c>
      <c r="O24" s="15"/>
    </row>
    <row r="25" spans="2:15" ht="30">
      <c r="B25" s="8">
        <v>2864</v>
      </c>
      <c r="C25" s="8">
        <v>24013636</v>
      </c>
      <c r="D25" s="10">
        <v>16.100000000000001</v>
      </c>
      <c r="E25" s="13">
        <v>1275.3</v>
      </c>
      <c r="F25" s="11">
        <v>66083001825</v>
      </c>
      <c r="G25" s="12" t="s">
        <v>116</v>
      </c>
      <c r="H25" s="11" t="s">
        <v>1299</v>
      </c>
      <c r="I25" s="11" t="s">
        <v>1300</v>
      </c>
      <c r="J25" s="12" t="s">
        <v>878</v>
      </c>
      <c r="K25" s="8" t="s">
        <v>842</v>
      </c>
      <c r="L25" s="8" t="s">
        <v>104</v>
      </c>
      <c r="M25" s="28">
        <v>23.142116000000001</v>
      </c>
      <c r="N25" s="28">
        <v>-82.377350000000007</v>
      </c>
      <c r="O25" s="15"/>
    </row>
    <row r="26" spans="2:15" ht="30">
      <c r="B26" s="8">
        <v>2864</v>
      </c>
      <c r="C26" s="8">
        <v>24013629</v>
      </c>
      <c r="D26" s="10">
        <v>21.4</v>
      </c>
      <c r="E26" s="13">
        <v>821.7</v>
      </c>
      <c r="F26" s="11">
        <v>92032528343</v>
      </c>
      <c r="G26" s="12" t="s">
        <v>121</v>
      </c>
      <c r="H26" s="11" t="s">
        <v>1301</v>
      </c>
      <c r="I26" s="11" t="s">
        <v>1301</v>
      </c>
      <c r="J26" s="12" t="s">
        <v>900</v>
      </c>
      <c r="K26" s="8" t="s">
        <v>838</v>
      </c>
      <c r="L26" s="8" t="s">
        <v>104</v>
      </c>
      <c r="M26" s="28">
        <v>23.093257999999999</v>
      </c>
      <c r="N26" s="28">
        <v>-82.363453000000007</v>
      </c>
      <c r="O26" s="15"/>
    </row>
    <row r="27" spans="2:15" ht="30">
      <c r="B27" s="8">
        <v>2864</v>
      </c>
      <c r="C27" s="8">
        <v>24013635</v>
      </c>
      <c r="D27" s="10">
        <v>26.7</v>
      </c>
      <c r="E27" s="13">
        <v>2159.4</v>
      </c>
      <c r="F27" s="11">
        <v>66073027675</v>
      </c>
      <c r="G27" s="12" t="s">
        <v>126</v>
      </c>
      <c r="H27" s="11" t="s">
        <v>1302</v>
      </c>
      <c r="I27" s="11" t="s">
        <v>1303</v>
      </c>
      <c r="J27" s="12" t="s">
        <v>887</v>
      </c>
      <c r="K27" s="8" t="s">
        <v>838</v>
      </c>
      <c r="L27" s="8" t="s">
        <v>104</v>
      </c>
      <c r="M27" s="28">
        <v>23.091892000000001</v>
      </c>
      <c r="N27" s="28">
        <v>-82.358976999999996</v>
      </c>
      <c r="O27" s="15"/>
    </row>
    <row r="28" spans="2:15" ht="30">
      <c r="B28" s="8">
        <v>2864</v>
      </c>
      <c r="C28" s="8">
        <v>24013651</v>
      </c>
      <c r="D28" s="10">
        <v>19.84</v>
      </c>
      <c r="E28" s="13">
        <v>1350.9</v>
      </c>
      <c r="F28" s="11">
        <v>56070327280</v>
      </c>
      <c r="G28" s="12" t="s">
        <v>135</v>
      </c>
      <c r="H28" s="11" t="s">
        <v>1306</v>
      </c>
      <c r="I28" s="11" t="s">
        <v>1306</v>
      </c>
      <c r="J28" s="12" t="s">
        <v>903</v>
      </c>
      <c r="K28" s="8" t="s">
        <v>846</v>
      </c>
      <c r="L28" s="8" t="s">
        <v>104</v>
      </c>
      <c r="M28" s="28">
        <v>23.149471999999999</v>
      </c>
      <c r="N28" s="28">
        <v>-82.301158000000001</v>
      </c>
      <c r="O28" s="15"/>
    </row>
    <row r="29" spans="2:15" ht="30">
      <c r="B29" s="8">
        <v>2864</v>
      </c>
      <c r="C29" s="8">
        <v>24013652</v>
      </c>
      <c r="D29" s="10">
        <v>19.48</v>
      </c>
      <c r="E29" s="13">
        <v>295</v>
      </c>
      <c r="F29" s="11">
        <v>56070327280</v>
      </c>
      <c r="G29" s="12" t="s">
        <v>135</v>
      </c>
      <c r="H29" s="11" t="s">
        <v>1306</v>
      </c>
      <c r="I29" s="11" t="s">
        <v>1306</v>
      </c>
      <c r="J29" s="12" t="s">
        <v>903</v>
      </c>
      <c r="K29" s="8" t="s">
        <v>846</v>
      </c>
      <c r="L29" s="8" t="s">
        <v>104</v>
      </c>
      <c r="M29" s="28">
        <v>23.149471999999999</v>
      </c>
      <c r="N29" s="28">
        <v>-82.301158000000001</v>
      </c>
      <c r="O29" s="15"/>
    </row>
    <row r="30" spans="2:15" ht="30">
      <c r="B30" s="8">
        <v>2864</v>
      </c>
      <c r="C30" s="8">
        <v>24013655</v>
      </c>
      <c r="D30" s="10">
        <v>36.700000000000003</v>
      </c>
      <c r="E30" s="13">
        <v>2915.4</v>
      </c>
      <c r="F30" s="11">
        <v>20665692</v>
      </c>
      <c r="G30" s="12" t="s">
        <v>130</v>
      </c>
      <c r="H30" s="11" t="s">
        <v>1307</v>
      </c>
      <c r="I30" s="11" t="s">
        <v>1307</v>
      </c>
      <c r="J30" s="12" t="s">
        <v>904</v>
      </c>
      <c r="K30" s="8" t="s">
        <v>846</v>
      </c>
      <c r="L30" s="8" t="s">
        <v>104</v>
      </c>
      <c r="M30" s="28">
        <v>23.157923</v>
      </c>
      <c r="N30" s="28">
        <v>-82.326390000000004</v>
      </c>
      <c r="O30" s="15"/>
    </row>
    <row r="31" spans="2:15" ht="15">
      <c r="B31" s="8">
        <v>2864</v>
      </c>
      <c r="C31" s="8">
        <v>24013654</v>
      </c>
      <c r="D31" s="10">
        <v>41.2</v>
      </c>
      <c r="E31" s="13">
        <v>3747</v>
      </c>
      <c r="F31" s="11">
        <v>95040930501</v>
      </c>
      <c r="G31" s="12" t="s">
        <v>140</v>
      </c>
      <c r="H31" s="11" t="s">
        <v>1109</v>
      </c>
      <c r="I31" s="11" t="s">
        <v>1110</v>
      </c>
      <c r="J31" s="12" t="s">
        <v>848</v>
      </c>
      <c r="K31" s="8" t="s">
        <v>836</v>
      </c>
      <c r="L31" s="8" t="s">
        <v>104</v>
      </c>
      <c r="M31" s="28">
        <v>23.056421</v>
      </c>
      <c r="N31" s="28">
        <v>-82.470249999999993</v>
      </c>
      <c r="O31" s="15"/>
    </row>
    <row r="32" spans="2:15" ht="15">
      <c r="B32" s="8">
        <v>2864</v>
      </c>
      <c r="C32" s="8">
        <v>24013656</v>
      </c>
      <c r="D32" s="10">
        <v>19.3</v>
      </c>
      <c r="E32" s="13">
        <v>1502.1</v>
      </c>
      <c r="F32" s="11">
        <v>87112617772</v>
      </c>
      <c r="G32" s="12" t="s">
        <v>145</v>
      </c>
      <c r="H32" s="11" t="s">
        <v>1308</v>
      </c>
      <c r="I32" s="11" t="s">
        <v>1309</v>
      </c>
      <c r="J32" s="12" t="s">
        <v>906</v>
      </c>
      <c r="K32" s="8" t="s">
        <v>836</v>
      </c>
      <c r="L32" s="8" t="s">
        <v>104</v>
      </c>
      <c r="M32" s="28">
        <v>23.062971999999998</v>
      </c>
      <c r="N32" s="28">
        <v>-82.439797999999996</v>
      </c>
      <c r="O32" s="15"/>
    </row>
    <row r="33" spans="2:15" ht="15">
      <c r="B33" s="8">
        <v>2864</v>
      </c>
      <c r="C33" s="8">
        <v>24013610</v>
      </c>
      <c r="D33" s="10">
        <v>24.5</v>
      </c>
      <c r="E33" s="13">
        <v>2008.2</v>
      </c>
      <c r="F33" s="11">
        <v>89013021298</v>
      </c>
      <c r="G33" s="12" t="s">
        <v>161</v>
      </c>
      <c r="H33" s="11" t="s">
        <v>1310</v>
      </c>
      <c r="I33" s="11" t="s">
        <v>1310</v>
      </c>
      <c r="J33" s="12" t="s">
        <v>908</v>
      </c>
      <c r="K33" s="8" t="s">
        <v>843</v>
      </c>
      <c r="L33" s="8" t="s">
        <v>104</v>
      </c>
      <c r="M33" s="28">
        <v>23.070526999999998</v>
      </c>
      <c r="N33" s="28">
        <v>-82.437963999999994</v>
      </c>
      <c r="O33" s="15"/>
    </row>
    <row r="34" spans="2:15" ht="15">
      <c r="B34" s="8">
        <v>2864</v>
      </c>
      <c r="C34" s="8">
        <v>24013611</v>
      </c>
      <c r="D34" s="10">
        <v>23.3</v>
      </c>
      <c r="E34" s="13">
        <v>1932.6</v>
      </c>
      <c r="F34" s="11">
        <v>62061814832</v>
      </c>
      <c r="G34" s="12" t="s">
        <v>154</v>
      </c>
      <c r="H34" s="11" t="s">
        <v>1310</v>
      </c>
      <c r="I34" s="11" t="s">
        <v>1310</v>
      </c>
      <c r="J34" s="12" t="s">
        <v>908</v>
      </c>
      <c r="K34" s="8" t="s">
        <v>843</v>
      </c>
      <c r="L34" s="8" t="s">
        <v>104</v>
      </c>
      <c r="M34" s="28">
        <v>23.070526999999998</v>
      </c>
      <c r="N34" s="28">
        <v>-82.437963999999994</v>
      </c>
      <c r="O34" s="15"/>
    </row>
    <row r="35" spans="2:15" ht="15">
      <c r="B35" s="8">
        <v>2864</v>
      </c>
      <c r="C35" s="8">
        <v>24013612</v>
      </c>
      <c r="D35" s="10">
        <v>10.66</v>
      </c>
      <c r="E35" s="13">
        <v>1275.3</v>
      </c>
      <c r="F35" s="11">
        <v>89013021298</v>
      </c>
      <c r="G35" s="12" t="s">
        <v>161</v>
      </c>
      <c r="H35" s="11" t="s">
        <v>1310</v>
      </c>
      <c r="I35" s="11" t="s">
        <v>1310</v>
      </c>
      <c r="J35" s="12" t="s">
        <v>908</v>
      </c>
      <c r="K35" s="8" t="s">
        <v>843</v>
      </c>
      <c r="L35" s="8" t="s">
        <v>104</v>
      </c>
      <c r="M35" s="28">
        <v>23.070526999999998</v>
      </c>
      <c r="N35" s="28">
        <v>-82.437963999999994</v>
      </c>
      <c r="O35" s="15"/>
    </row>
    <row r="36" spans="2:15" ht="15">
      <c r="B36" s="8">
        <v>2864</v>
      </c>
      <c r="C36" s="8">
        <v>24013613</v>
      </c>
      <c r="D36" s="10">
        <v>16.36</v>
      </c>
      <c r="E36" s="13">
        <v>1275.3</v>
      </c>
      <c r="F36" s="11">
        <v>82120408750</v>
      </c>
      <c r="G36" s="12" t="s">
        <v>157</v>
      </c>
      <c r="H36" s="11" t="s">
        <v>1311</v>
      </c>
      <c r="I36" s="11" t="s">
        <v>1311</v>
      </c>
      <c r="J36" s="12" t="s">
        <v>911</v>
      </c>
      <c r="K36" s="8" t="s">
        <v>843</v>
      </c>
      <c r="L36" s="8" t="s">
        <v>104</v>
      </c>
      <c r="M36" s="28">
        <v>23.070526999999998</v>
      </c>
      <c r="N36" s="28">
        <v>-82.437963999999994</v>
      </c>
      <c r="O36" s="15"/>
    </row>
    <row r="37" spans="2:15" ht="15">
      <c r="B37" s="8">
        <v>2864</v>
      </c>
      <c r="C37" s="8">
        <v>24013614</v>
      </c>
      <c r="D37" s="10">
        <v>9.66</v>
      </c>
      <c r="E37" s="13">
        <v>821.7</v>
      </c>
      <c r="F37" s="11">
        <v>95092030438</v>
      </c>
      <c r="G37" s="12" t="s">
        <v>150</v>
      </c>
      <c r="H37" s="11" t="s">
        <v>1310</v>
      </c>
      <c r="I37" s="11" t="s">
        <v>1310</v>
      </c>
      <c r="J37" s="12" t="s">
        <v>909</v>
      </c>
      <c r="K37" s="8" t="s">
        <v>843</v>
      </c>
      <c r="L37" s="8" t="s">
        <v>104</v>
      </c>
      <c r="M37" s="28">
        <v>23.070526999999998</v>
      </c>
      <c r="N37" s="28">
        <v>-82.437963999999994</v>
      </c>
      <c r="O37" s="15"/>
    </row>
    <row r="38" spans="2:15" ht="15">
      <c r="B38" s="8">
        <v>2864</v>
      </c>
      <c r="C38" s="8">
        <v>24013616</v>
      </c>
      <c r="D38" s="10">
        <v>30.56</v>
      </c>
      <c r="E38" s="13">
        <v>295</v>
      </c>
      <c r="F38" s="11">
        <v>64101932954</v>
      </c>
      <c r="G38" s="12" t="s">
        <v>166</v>
      </c>
      <c r="H38" s="11" t="s">
        <v>1116</v>
      </c>
      <c r="I38" s="11" t="s">
        <v>1117</v>
      </c>
      <c r="J38" s="12" t="s">
        <v>849</v>
      </c>
      <c r="K38" s="8" t="s">
        <v>837</v>
      </c>
      <c r="L38" s="8" t="s">
        <v>104</v>
      </c>
      <c r="M38" s="28">
        <v>23.090313999999999</v>
      </c>
      <c r="N38" s="28">
        <v>-82.455618999999999</v>
      </c>
      <c r="O38" s="15"/>
    </row>
    <row r="39" spans="2:15" ht="15">
      <c r="B39" s="8">
        <v>2864</v>
      </c>
      <c r="C39" s="8">
        <v>24013617</v>
      </c>
      <c r="D39" s="10">
        <v>8.66</v>
      </c>
      <c r="E39" s="13">
        <v>295</v>
      </c>
      <c r="F39" s="11">
        <v>64101932954</v>
      </c>
      <c r="G39" s="12" t="s">
        <v>166</v>
      </c>
      <c r="H39" s="11" t="s">
        <v>1116</v>
      </c>
      <c r="I39" s="11" t="s">
        <v>1117</v>
      </c>
      <c r="J39" s="12" t="s">
        <v>849</v>
      </c>
      <c r="K39" s="8" t="s">
        <v>837</v>
      </c>
      <c r="L39" s="8" t="s">
        <v>104</v>
      </c>
      <c r="M39" s="28">
        <v>23.090313999999999</v>
      </c>
      <c r="N39" s="28">
        <v>-82.455618999999999</v>
      </c>
      <c r="O39" s="15"/>
    </row>
    <row r="40" spans="2:15" ht="15">
      <c r="B40" s="8">
        <v>2864</v>
      </c>
      <c r="C40" s="8">
        <v>24013637</v>
      </c>
      <c r="D40" s="10">
        <v>5.0999999999999996</v>
      </c>
      <c r="E40" s="13">
        <v>594.9</v>
      </c>
      <c r="F40" s="11">
        <v>82090801650</v>
      </c>
      <c r="G40" s="12" t="s">
        <v>172</v>
      </c>
      <c r="H40" s="11" t="s">
        <v>1337</v>
      </c>
      <c r="I40" s="11" t="s">
        <v>1337</v>
      </c>
      <c r="J40" s="12" t="s">
        <v>891</v>
      </c>
      <c r="K40" s="8" t="s">
        <v>841</v>
      </c>
      <c r="L40" s="8" t="s">
        <v>104</v>
      </c>
      <c r="M40" s="28">
        <v>23.128575000000001</v>
      </c>
      <c r="N40" s="28">
        <v>-82.408957999999998</v>
      </c>
      <c r="O40" s="15"/>
    </row>
    <row r="41" spans="2:15" ht="30">
      <c r="B41" s="8">
        <v>2864</v>
      </c>
      <c r="C41" s="8">
        <v>24013643</v>
      </c>
      <c r="D41" s="10">
        <v>15.58</v>
      </c>
      <c r="E41" s="13">
        <v>3142.2</v>
      </c>
      <c r="F41" s="11">
        <v>55020303952</v>
      </c>
      <c r="G41" s="12" t="s">
        <v>177</v>
      </c>
      <c r="H41" s="11" t="s">
        <v>1344</v>
      </c>
      <c r="I41" s="11" t="s">
        <v>1345</v>
      </c>
      <c r="J41" s="12" t="s">
        <v>873</v>
      </c>
      <c r="K41" s="8" t="s">
        <v>840</v>
      </c>
      <c r="L41" s="8" t="s">
        <v>104</v>
      </c>
      <c r="M41" s="28">
        <v>23.094321999999998</v>
      </c>
      <c r="N41" s="28">
        <v>-82.337342000000007</v>
      </c>
      <c r="O41" s="15"/>
    </row>
    <row r="42" spans="2:15" ht="30">
      <c r="B42" s="8">
        <v>2864</v>
      </c>
      <c r="C42" s="8">
        <v>24013644</v>
      </c>
      <c r="D42" s="10">
        <v>4.62</v>
      </c>
      <c r="E42" s="13">
        <v>295</v>
      </c>
      <c r="F42" s="11">
        <v>55020303952</v>
      </c>
      <c r="G42" s="12" t="s">
        <v>177</v>
      </c>
      <c r="H42" s="11" t="s">
        <v>1344</v>
      </c>
      <c r="I42" s="11" t="s">
        <v>1345</v>
      </c>
      <c r="J42" s="12" t="s">
        <v>873</v>
      </c>
      <c r="K42" s="8" t="s">
        <v>840</v>
      </c>
      <c r="L42" s="8" t="s">
        <v>104</v>
      </c>
      <c r="M42" s="28">
        <v>23.094321999999998</v>
      </c>
      <c r="N42" s="28">
        <v>-82.337342000000007</v>
      </c>
      <c r="O42" s="15"/>
    </row>
    <row r="43" spans="2:15" ht="15">
      <c r="B43" s="8">
        <v>2864</v>
      </c>
      <c r="C43" s="8">
        <v>24013621</v>
      </c>
      <c r="D43" s="10">
        <v>17.600000000000001</v>
      </c>
      <c r="E43" s="13">
        <v>1426.5</v>
      </c>
      <c r="F43" s="11">
        <v>73080718076</v>
      </c>
      <c r="G43" s="12" t="s">
        <v>92</v>
      </c>
      <c r="H43" s="11" t="s">
        <v>1323</v>
      </c>
      <c r="I43" s="11" t="s">
        <v>1323</v>
      </c>
      <c r="J43" s="12" t="s">
        <v>961</v>
      </c>
      <c r="K43" s="8" t="s">
        <v>912</v>
      </c>
      <c r="L43" s="8" t="s">
        <v>69</v>
      </c>
      <c r="M43" s="28">
        <v>20.879411999999999</v>
      </c>
      <c r="N43" s="28">
        <v>-76.245239999999995</v>
      </c>
      <c r="O43" s="15"/>
    </row>
    <row r="44" spans="2:15" ht="30">
      <c r="B44" s="8">
        <v>2864</v>
      </c>
      <c r="C44" s="8">
        <v>24013653</v>
      </c>
      <c r="D44" s="10">
        <v>30.5</v>
      </c>
      <c r="E44" s="13">
        <v>2461.8000000000002</v>
      </c>
      <c r="F44" s="11">
        <v>91113042453</v>
      </c>
      <c r="G44" s="12" t="s">
        <v>97</v>
      </c>
      <c r="H44" s="11" t="s">
        <v>1343</v>
      </c>
      <c r="I44" s="11" t="s">
        <v>1343</v>
      </c>
      <c r="J44" s="12" t="s">
        <v>963</v>
      </c>
      <c r="K44" s="8" t="s">
        <v>912</v>
      </c>
      <c r="L44" s="8" t="s">
        <v>69</v>
      </c>
      <c r="M44" s="28">
        <v>20.873954999999999</v>
      </c>
      <c r="N44" s="28">
        <v>-76.241944000000004</v>
      </c>
      <c r="O44" s="15"/>
    </row>
    <row r="45" spans="2:15" ht="30">
      <c r="B45" s="8">
        <v>2864</v>
      </c>
      <c r="C45" s="8">
        <v>24013619</v>
      </c>
      <c r="D45" s="10">
        <v>13.6</v>
      </c>
      <c r="E45" s="13">
        <v>1124.0999999999999</v>
      </c>
      <c r="F45" s="11">
        <v>91052722586</v>
      </c>
      <c r="G45" s="12" t="s">
        <v>199</v>
      </c>
      <c r="H45" s="11" t="s">
        <v>1304</v>
      </c>
      <c r="I45" s="11" t="s">
        <v>1304</v>
      </c>
      <c r="J45" s="12" t="s">
        <v>982</v>
      </c>
      <c r="K45" s="8" t="s">
        <v>968</v>
      </c>
      <c r="L45" s="8" t="s">
        <v>202</v>
      </c>
      <c r="M45" s="28">
        <v>22.589417000000001</v>
      </c>
      <c r="N45" s="28">
        <v>-83.943645000000004</v>
      </c>
      <c r="O45" s="15"/>
    </row>
    <row r="46" spans="2:15" ht="30">
      <c r="B46" s="8">
        <v>2864</v>
      </c>
      <c r="C46" s="8">
        <v>24013620</v>
      </c>
      <c r="D46" s="10">
        <v>12.8</v>
      </c>
      <c r="E46" s="13">
        <v>1048.5</v>
      </c>
      <c r="F46" s="11">
        <v>91052722586</v>
      </c>
      <c r="G46" s="12" t="s">
        <v>199</v>
      </c>
      <c r="H46" s="11" t="s">
        <v>1304</v>
      </c>
      <c r="I46" s="11" t="s">
        <v>1304</v>
      </c>
      <c r="J46" s="12" t="s">
        <v>982</v>
      </c>
      <c r="K46" s="8" t="s">
        <v>968</v>
      </c>
      <c r="L46" s="8" t="s">
        <v>202</v>
      </c>
      <c r="M46" s="28">
        <v>22.589417000000001</v>
      </c>
      <c r="N46" s="28">
        <v>-83.943645000000004</v>
      </c>
      <c r="O46" s="15"/>
    </row>
    <row r="47" spans="2:15" ht="30">
      <c r="B47" s="8">
        <v>2864</v>
      </c>
      <c r="C47" s="8">
        <v>24013579</v>
      </c>
      <c r="D47" s="10">
        <v>2.2000000000000002</v>
      </c>
      <c r="E47" s="13">
        <v>295</v>
      </c>
      <c r="F47" s="11">
        <v>73020204009</v>
      </c>
      <c r="G47" s="12" t="s">
        <v>204</v>
      </c>
      <c r="H47" s="11" t="s">
        <v>1305</v>
      </c>
      <c r="I47" s="11" t="s">
        <v>1305</v>
      </c>
      <c r="J47" s="12" t="s">
        <v>984</v>
      </c>
      <c r="K47" s="8" t="s">
        <v>966</v>
      </c>
      <c r="L47" s="8" t="s">
        <v>202</v>
      </c>
      <c r="M47" s="28">
        <v>22.437259000000001</v>
      </c>
      <c r="N47" s="28">
        <v>-83.690078</v>
      </c>
      <c r="O47" s="15"/>
    </row>
    <row r="48" spans="2:15" ht="30">
      <c r="B48" s="8">
        <v>2864</v>
      </c>
      <c r="C48" s="8">
        <v>24013589</v>
      </c>
      <c r="D48" s="10">
        <v>3.4</v>
      </c>
      <c r="E48" s="13">
        <v>295</v>
      </c>
      <c r="F48" s="11">
        <v>55051507953</v>
      </c>
      <c r="G48" s="12" t="s">
        <v>223</v>
      </c>
      <c r="H48" s="11" t="s">
        <v>1316</v>
      </c>
      <c r="I48" s="11" t="s">
        <v>1316</v>
      </c>
      <c r="J48" s="12" t="s">
        <v>1035</v>
      </c>
      <c r="K48" s="8" t="s">
        <v>994</v>
      </c>
      <c r="L48" s="8" t="s">
        <v>79</v>
      </c>
      <c r="M48" s="28">
        <v>20.032727000000001</v>
      </c>
      <c r="N48" s="28">
        <v>-75.833304999999996</v>
      </c>
      <c r="O48" s="15"/>
    </row>
    <row r="49" spans="2:15" ht="30">
      <c r="B49" s="8">
        <v>2864</v>
      </c>
      <c r="C49" s="8">
        <v>24013622</v>
      </c>
      <c r="D49" s="10">
        <v>33.200000000000003</v>
      </c>
      <c r="E49" s="13">
        <v>2613</v>
      </c>
      <c r="F49" s="11">
        <v>57072902962</v>
      </c>
      <c r="G49" s="12" t="s">
        <v>219</v>
      </c>
      <c r="H49" s="11" t="s">
        <v>1324</v>
      </c>
      <c r="I49" s="11" t="s">
        <v>1324</v>
      </c>
      <c r="J49" s="12" t="s">
        <v>1033</v>
      </c>
      <c r="K49" s="8" t="s">
        <v>994</v>
      </c>
      <c r="L49" s="8" t="s">
        <v>79</v>
      </c>
      <c r="M49" s="28">
        <v>20.028635999999999</v>
      </c>
      <c r="N49" s="28">
        <v>-75.821949000000004</v>
      </c>
      <c r="O49" s="15"/>
    </row>
    <row r="50" spans="2:15" ht="30">
      <c r="B50" s="8">
        <v>2864</v>
      </c>
      <c r="C50" s="8">
        <v>24013580</v>
      </c>
      <c r="D50" s="10">
        <v>18.3</v>
      </c>
      <c r="E50" s="13">
        <v>1781.4</v>
      </c>
      <c r="F50" s="11">
        <v>85112414891</v>
      </c>
      <c r="G50" s="12" t="s">
        <v>208</v>
      </c>
      <c r="H50" s="11" t="s">
        <v>1312</v>
      </c>
      <c r="I50" s="11" t="s">
        <v>1312</v>
      </c>
      <c r="J50" s="12" t="s">
        <v>1057</v>
      </c>
      <c r="K50" s="8" t="s">
        <v>1047</v>
      </c>
      <c r="L50" s="8" t="s">
        <v>211</v>
      </c>
      <c r="M50" s="28">
        <v>22.073920000000001</v>
      </c>
      <c r="N50" s="28">
        <v>-79.501318999999995</v>
      </c>
      <c r="O50" s="15"/>
    </row>
    <row r="51" spans="2:15" ht="30">
      <c r="B51" s="8">
        <v>2864</v>
      </c>
      <c r="C51" s="8">
        <v>24013581</v>
      </c>
      <c r="D51" s="10">
        <v>5.3</v>
      </c>
      <c r="E51" s="13">
        <v>443.7</v>
      </c>
      <c r="F51" s="11">
        <v>85112414891</v>
      </c>
      <c r="G51" s="12" t="s">
        <v>208</v>
      </c>
      <c r="H51" s="11" t="s">
        <v>1312</v>
      </c>
      <c r="I51" s="11" t="s">
        <v>1312</v>
      </c>
      <c r="J51" s="12" t="s">
        <v>1057</v>
      </c>
      <c r="K51" s="8" t="s">
        <v>1047</v>
      </c>
      <c r="L51" s="8" t="s">
        <v>211</v>
      </c>
      <c r="M51" s="28">
        <v>22.073920000000001</v>
      </c>
      <c r="N51" s="28">
        <v>-79.501318999999995</v>
      </c>
      <c r="O51" s="15"/>
    </row>
    <row r="52" spans="2:15" ht="15">
      <c r="B52" s="8">
        <v>2864</v>
      </c>
      <c r="C52" s="8">
        <v>24013649</v>
      </c>
      <c r="D52" s="10">
        <v>16.5</v>
      </c>
      <c r="E52" s="13">
        <v>1350.9</v>
      </c>
      <c r="F52" s="11">
        <v>62032525924</v>
      </c>
      <c r="G52" s="12" t="s">
        <v>227</v>
      </c>
      <c r="H52" s="11" t="s">
        <v>1341</v>
      </c>
      <c r="I52" s="11" t="s">
        <v>1341</v>
      </c>
      <c r="J52" s="12" t="s">
        <v>1061</v>
      </c>
      <c r="K52" s="8" t="s">
        <v>1050</v>
      </c>
      <c r="L52" s="8" t="s">
        <v>211</v>
      </c>
      <c r="M52" s="28">
        <v>22.645755999999999</v>
      </c>
      <c r="N52" s="28">
        <v>-80.046893999999995</v>
      </c>
      <c r="O52" s="15"/>
    </row>
    <row r="53" spans="2:15" ht="30">
      <c r="B53" s="8">
        <v>2864</v>
      </c>
      <c r="C53" s="8">
        <v>24013631</v>
      </c>
      <c r="D53" s="10">
        <v>16.64</v>
      </c>
      <c r="E53" s="13">
        <v>1350.9</v>
      </c>
      <c r="F53" s="11">
        <v>51081404862</v>
      </c>
      <c r="G53" s="12" t="s">
        <v>231</v>
      </c>
      <c r="H53" s="11" t="s">
        <v>1329</v>
      </c>
      <c r="I53" s="11" t="s">
        <v>1330</v>
      </c>
      <c r="J53" s="12" t="s">
        <v>1063</v>
      </c>
      <c r="K53" s="8" t="s">
        <v>1048</v>
      </c>
      <c r="L53" s="8" t="s">
        <v>211</v>
      </c>
      <c r="M53" s="28">
        <v>22.614122999999999</v>
      </c>
      <c r="N53" s="28">
        <v>-79.864880999999997</v>
      </c>
      <c r="O53" s="15"/>
    </row>
    <row r="54" spans="2:15" ht="30">
      <c r="B54" s="8">
        <v>2864</v>
      </c>
      <c r="C54" s="8">
        <v>24013633</v>
      </c>
      <c r="D54" s="10">
        <v>20</v>
      </c>
      <c r="E54" s="13">
        <v>1577.7</v>
      </c>
      <c r="F54" s="11">
        <v>97012210810</v>
      </c>
      <c r="G54" s="12" t="s">
        <v>235</v>
      </c>
      <c r="H54" s="11" t="s">
        <v>1332</v>
      </c>
      <c r="I54" s="11" t="s">
        <v>1332</v>
      </c>
      <c r="J54" s="12" t="s">
        <v>1056</v>
      </c>
      <c r="K54" s="8" t="s">
        <v>1049</v>
      </c>
      <c r="L54" s="8" t="s">
        <v>211</v>
      </c>
      <c r="M54" s="28">
        <v>22.306536000000001</v>
      </c>
      <c r="N54" s="28">
        <v>-79.659098</v>
      </c>
      <c r="O54" s="15"/>
    </row>
    <row r="55" spans="2:15" ht="30">
      <c r="B55" s="8">
        <v>2864</v>
      </c>
      <c r="C55" s="8">
        <v>24013634</v>
      </c>
      <c r="D55" s="10">
        <v>19.399999999999999</v>
      </c>
      <c r="E55" s="13">
        <v>1502.1</v>
      </c>
      <c r="F55" s="11">
        <v>97012210810</v>
      </c>
      <c r="G55" s="12" t="s">
        <v>235</v>
      </c>
      <c r="H55" s="11" t="s">
        <v>1332</v>
      </c>
      <c r="I55" s="11" t="s">
        <v>1332</v>
      </c>
      <c r="J55" s="12" t="s">
        <v>1056</v>
      </c>
      <c r="K55" s="8" t="s">
        <v>1049</v>
      </c>
      <c r="L55" s="8" t="s">
        <v>211</v>
      </c>
      <c r="M55" s="28">
        <v>22.306536000000001</v>
      </c>
      <c r="N55" s="28">
        <v>-79.659098</v>
      </c>
      <c r="O55" s="15"/>
    </row>
    <row r="56" spans="2:15" ht="30">
      <c r="B56" s="8">
        <v>2864</v>
      </c>
      <c r="C56" s="8">
        <v>24013615</v>
      </c>
      <c r="D56" s="10">
        <v>20</v>
      </c>
      <c r="E56" s="13">
        <v>295</v>
      </c>
      <c r="F56" s="11">
        <v>80112011915</v>
      </c>
      <c r="G56" s="12" t="s">
        <v>240</v>
      </c>
      <c r="H56" s="11" t="s">
        <v>1321</v>
      </c>
      <c r="I56" s="11" t="s">
        <v>1321</v>
      </c>
      <c r="J56" s="12" t="s">
        <v>1053</v>
      </c>
      <c r="K56" s="8" t="s">
        <v>1044</v>
      </c>
      <c r="L56" s="8" t="s">
        <v>211</v>
      </c>
      <c r="M56" s="28">
        <v>22.803284999999999</v>
      </c>
      <c r="N56" s="28">
        <v>-80.084541999999999</v>
      </c>
      <c r="O56" s="15"/>
    </row>
    <row r="57" spans="2:15" ht="30">
      <c r="B57" s="8">
        <v>2864</v>
      </c>
      <c r="C57" s="8">
        <v>24013647</v>
      </c>
      <c r="D57" s="10">
        <v>19.2</v>
      </c>
      <c r="E57" s="13">
        <v>1502.1</v>
      </c>
      <c r="F57" s="11">
        <v>80112011915</v>
      </c>
      <c r="G57" s="12" t="s">
        <v>240</v>
      </c>
      <c r="H57" s="11" t="s">
        <v>1321</v>
      </c>
      <c r="I57" s="11" t="s">
        <v>1321</v>
      </c>
      <c r="J57" s="12" t="s">
        <v>1053</v>
      </c>
      <c r="K57" s="8" t="s">
        <v>1044</v>
      </c>
      <c r="L57" s="8" t="s">
        <v>211</v>
      </c>
      <c r="M57" s="28">
        <v>22.803284999999999</v>
      </c>
      <c r="N57" s="28">
        <v>-80.084541999999999</v>
      </c>
      <c r="O57" s="15"/>
    </row>
    <row r="58" spans="2:15" ht="30">
      <c r="B58" s="8">
        <v>2864</v>
      </c>
      <c r="C58" s="8">
        <v>24013588</v>
      </c>
      <c r="D58" s="10">
        <v>9.6999999999999993</v>
      </c>
      <c r="E58" s="13">
        <v>821.7</v>
      </c>
      <c r="F58" s="11">
        <v>55090805479</v>
      </c>
      <c r="G58" s="12" t="s">
        <v>249</v>
      </c>
      <c r="H58" s="11" t="s">
        <v>1249</v>
      </c>
      <c r="I58" s="11" t="s">
        <v>1250</v>
      </c>
      <c r="J58" s="12" t="s">
        <v>1080</v>
      </c>
      <c r="K58" s="8" t="s">
        <v>1042</v>
      </c>
      <c r="L58" s="8" t="s">
        <v>211</v>
      </c>
      <c r="M58" s="28">
        <v>22.405377999999999</v>
      </c>
      <c r="N58" s="28">
        <v>-79.945884000000007</v>
      </c>
      <c r="O58" s="15"/>
    </row>
    <row r="59" spans="2:15" ht="30">
      <c r="B59" s="8">
        <v>2864</v>
      </c>
      <c r="C59" s="8">
        <v>24013608</v>
      </c>
      <c r="D59" s="10">
        <v>20.2</v>
      </c>
      <c r="E59" s="13">
        <v>1819.2</v>
      </c>
      <c r="F59" s="11">
        <v>99081710330</v>
      </c>
      <c r="G59" s="12" t="s">
        <v>245</v>
      </c>
      <c r="H59" s="11" t="s">
        <v>1318</v>
      </c>
      <c r="I59" s="11" t="s">
        <v>1318</v>
      </c>
      <c r="J59" s="12" t="s">
        <v>1073</v>
      </c>
      <c r="K59" s="8" t="s">
        <v>1042</v>
      </c>
      <c r="L59" s="8" t="s">
        <v>211</v>
      </c>
      <c r="M59" s="28">
        <v>22.419483</v>
      </c>
      <c r="N59" s="28">
        <v>-79.958780000000004</v>
      </c>
      <c r="O59" s="15"/>
    </row>
    <row r="60" spans="2:15" ht="30">
      <c r="B60" s="8">
        <v>2864</v>
      </c>
      <c r="C60" s="8">
        <v>24013650</v>
      </c>
      <c r="D60" s="10">
        <v>17</v>
      </c>
      <c r="E60" s="13">
        <v>1350.9</v>
      </c>
      <c r="F60" s="11">
        <v>89100130152</v>
      </c>
      <c r="G60" s="12" t="s">
        <v>253</v>
      </c>
      <c r="H60" s="11" t="s">
        <v>1342</v>
      </c>
      <c r="I60" s="11" t="s">
        <v>1342</v>
      </c>
      <c r="J60" s="12" t="s">
        <v>1072</v>
      </c>
      <c r="K60" s="8" t="s">
        <v>1042</v>
      </c>
      <c r="L60" s="8" t="s">
        <v>211</v>
      </c>
      <c r="M60" s="28">
        <v>22.396975000000001</v>
      </c>
      <c r="N60" s="28">
        <v>-79.966313999999997</v>
      </c>
      <c r="O60" s="15"/>
    </row>
    <row r="61" spans="2:15" ht="15">
      <c r="B61" s="8">
        <v>2864</v>
      </c>
      <c r="C61" s="8">
        <v>24013632</v>
      </c>
      <c r="D61" s="10">
        <v>13.5</v>
      </c>
      <c r="E61" s="13">
        <v>1010.7</v>
      </c>
      <c r="F61" s="11">
        <v>89021832360</v>
      </c>
      <c r="G61" s="12" t="s">
        <v>215</v>
      </c>
      <c r="H61" s="11" t="s">
        <v>1331</v>
      </c>
      <c r="I61" s="11" t="s">
        <v>1331</v>
      </c>
      <c r="J61" s="12" t="s">
        <v>1066</v>
      </c>
      <c r="K61" s="8" t="s">
        <v>1046</v>
      </c>
      <c r="L61" s="8" t="s">
        <v>1052</v>
      </c>
      <c r="M61" s="28">
        <v>22.252371</v>
      </c>
      <c r="N61" s="28">
        <v>-79.264410999999996</v>
      </c>
      <c r="O61" s="15"/>
    </row>
    <row r="62" spans="2:15" ht="30">
      <c r="B62" s="8">
        <v>2864</v>
      </c>
      <c r="C62" s="8">
        <v>24013585</v>
      </c>
      <c r="D62" s="10">
        <v>16.100000000000001</v>
      </c>
      <c r="E62" s="13">
        <v>1275.3</v>
      </c>
      <c r="F62" s="11">
        <v>58091007089</v>
      </c>
      <c r="G62" s="12" t="s">
        <v>182</v>
      </c>
      <c r="H62" s="11" t="s">
        <v>1315</v>
      </c>
      <c r="I62" s="11" t="s">
        <v>1315</v>
      </c>
      <c r="J62" s="12" t="s">
        <v>1087</v>
      </c>
      <c r="K62" s="8" t="s">
        <v>1085</v>
      </c>
      <c r="L62" s="8" t="s">
        <v>185</v>
      </c>
      <c r="M62" s="28">
        <v>23.029105999999999</v>
      </c>
      <c r="N62" s="28">
        <v>-81.193574999999996</v>
      </c>
      <c r="O62" s="15"/>
    </row>
    <row r="63" spans="2:15" ht="30">
      <c r="B63" s="8">
        <v>2864</v>
      </c>
      <c r="C63" s="8">
        <v>24013586</v>
      </c>
      <c r="D63" s="10">
        <v>16.2</v>
      </c>
      <c r="E63" s="13">
        <v>1275.3</v>
      </c>
      <c r="F63" s="11">
        <v>58091007089</v>
      </c>
      <c r="G63" s="12" t="s">
        <v>182</v>
      </c>
      <c r="H63" s="11" t="s">
        <v>1315</v>
      </c>
      <c r="I63" s="11" t="s">
        <v>1315</v>
      </c>
      <c r="J63" s="12" t="s">
        <v>1087</v>
      </c>
      <c r="K63" s="8" t="s">
        <v>1085</v>
      </c>
      <c r="L63" s="8" t="s">
        <v>185</v>
      </c>
      <c r="M63" s="28">
        <v>23.029105999999999</v>
      </c>
      <c r="N63" s="28">
        <v>-81.193574999999996</v>
      </c>
      <c r="O63" s="15"/>
    </row>
    <row r="64" spans="2:15" ht="30">
      <c r="B64" s="8">
        <v>2864</v>
      </c>
      <c r="C64" s="8">
        <v>24013587</v>
      </c>
      <c r="D64" s="10">
        <v>17</v>
      </c>
      <c r="E64" s="13">
        <v>1350.9</v>
      </c>
      <c r="F64" s="11">
        <v>57050500134</v>
      </c>
      <c r="G64" s="12" t="s">
        <v>187</v>
      </c>
      <c r="H64" s="11" t="s">
        <v>1315</v>
      </c>
      <c r="I64" s="11" t="s">
        <v>1315</v>
      </c>
      <c r="J64" s="12" t="s">
        <v>1087</v>
      </c>
      <c r="K64" s="8" t="s">
        <v>1085</v>
      </c>
      <c r="L64" s="8" t="s">
        <v>185</v>
      </c>
      <c r="M64" s="28">
        <v>23.029105999999999</v>
      </c>
      <c r="N64" s="28">
        <v>-81.193574999999996</v>
      </c>
      <c r="O64" s="15"/>
    </row>
    <row r="65" spans="2:15" ht="15">
      <c r="B65" s="8">
        <v>2864</v>
      </c>
      <c r="C65" s="8">
        <v>24013648</v>
      </c>
      <c r="D65" s="10">
        <v>2.6</v>
      </c>
      <c r="E65" s="13">
        <v>295</v>
      </c>
      <c r="F65" s="11">
        <v>57101900045</v>
      </c>
      <c r="G65" s="12" t="s">
        <v>191</v>
      </c>
      <c r="H65" s="11" t="s">
        <v>1339</v>
      </c>
      <c r="I65" s="11" t="s">
        <v>1340</v>
      </c>
      <c r="J65" s="12" t="s">
        <v>1088</v>
      </c>
      <c r="K65" s="8" t="s">
        <v>1085</v>
      </c>
      <c r="L65" s="8" t="s">
        <v>185</v>
      </c>
      <c r="M65" s="28">
        <v>23.030474000000002</v>
      </c>
      <c r="N65" s="28">
        <v>-81.216130000000007</v>
      </c>
      <c r="O65" s="15"/>
    </row>
    <row r="66" spans="2:15" ht="30">
      <c r="B66" s="8">
        <v>2864</v>
      </c>
      <c r="C66" s="8">
        <v>24013578</v>
      </c>
      <c r="D66" s="10">
        <v>23.3</v>
      </c>
      <c r="E66" s="13">
        <v>1857</v>
      </c>
      <c r="F66" s="11">
        <v>86100310022</v>
      </c>
      <c r="G66" s="12" t="s">
        <v>195</v>
      </c>
      <c r="H66" s="11" t="s">
        <v>1295</v>
      </c>
      <c r="I66" s="11" t="s">
        <v>1295</v>
      </c>
      <c r="J66" s="12" t="s">
        <v>1089</v>
      </c>
      <c r="K66" s="8" t="s">
        <v>1086</v>
      </c>
      <c r="L66" s="8" t="s">
        <v>185</v>
      </c>
      <c r="M66" s="28">
        <v>22.903486000000001</v>
      </c>
      <c r="N66" s="28">
        <v>-81.036161000000007</v>
      </c>
      <c r="O66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583E-9D73-4D85-9292-7D7B39FEF1E4}">
  <dimension ref="B2:P146"/>
  <sheetViews>
    <sheetView workbookViewId="0">
      <selection activeCell="E6" sqref="E6"/>
    </sheetView>
  </sheetViews>
  <sheetFormatPr baseColWidth="10" defaultRowHeight="14.25"/>
  <cols>
    <col min="6" max="6" width="16.75" customWidth="1"/>
    <col min="7" max="7" width="53.75" customWidth="1"/>
    <col min="8" max="8" width="17.75" customWidth="1"/>
    <col min="9" max="9" width="15.75" customWidth="1"/>
    <col min="10" max="10" width="62.75" customWidth="1"/>
    <col min="12" max="12" width="15" customWidth="1"/>
  </cols>
  <sheetData>
    <row r="2" spans="2:16" ht="15" thickBot="1"/>
    <row r="3" spans="2:16" ht="32.25" thickBot="1">
      <c r="B3" s="21" t="s">
        <v>269</v>
      </c>
      <c r="C3" s="22" t="s">
        <v>266</v>
      </c>
      <c r="D3" s="22" t="s">
        <v>264</v>
      </c>
      <c r="E3" s="22" t="s">
        <v>1104</v>
      </c>
      <c r="F3" s="22" t="s">
        <v>258</v>
      </c>
      <c r="G3" s="22" t="s">
        <v>259</v>
      </c>
      <c r="H3" s="22" t="s">
        <v>268</v>
      </c>
      <c r="I3" s="22" t="s">
        <v>267</v>
      </c>
      <c r="J3" s="22" t="s">
        <v>257</v>
      </c>
      <c r="K3" s="22" t="s">
        <v>1678</v>
      </c>
      <c r="L3" s="23" t="s">
        <v>1679</v>
      </c>
      <c r="M3" s="26" t="s">
        <v>1196</v>
      </c>
      <c r="N3" s="27" t="s">
        <v>1197</v>
      </c>
      <c r="O3" s="27" t="s">
        <v>1677</v>
      </c>
      <c r="P3" s="14" t="s">
        <v>1197</v>
      </c>
    </row>
    <row r="4" spans="2:16" ht="30">
      <c r="B4" s="8">
        <v>2794</v>
      </c>
      <c r="C4" s="11">
        <v>24013425</v>
      </c>
      <c r="D4" s="10">
        <v>15.7</v>
      </c>
      <c r="E4" s="13">
        <v>1199.7</v>
      </c>
      <c r="F4" s="8">
        <v>66100730080</v>
      </c>
      <c r="G4" s="12" t="s">
        <v>278</v>
      </c>
      <c r="H4" s="11" t="s">
        <v>1205</v>
      </c>
      <c r="I4" s="11" t="s">
        <v>1205</v>
      </c>
      <c r="J4" s="12" t="s">
        <v>865</v>
      </c>
      <c r="K4" s="8" t="s">
        <v>864</v>
      </c>
      <c r="L4" s="8" t="s">
        <v>63</v>
      </c>
      <c r="M4" s="28">
        <v>22.277000000000001</v>
      </c>
      <c r="N4" s="28">
        <v>-80.565066000000002</v>
      </c>
      <c r="O4" s="15"/>
      <c r="P4" s="15"/>
    </row>
    <row r="5" spans="2:16" ht="30">
      <c r="B5" s="8">
        <v>2794</v>
      </c>
      <c r="C5" s="11">
        <v>24013426</v>
      </c>
      <c r="D5" s="10">
        <v>23.5</v>
      </c>
      <c r="E5" s="13">
        <v>1932.6</v>
      </c>
      <c r="F5" s="8">
        <v>66100730080</v>
      </c>
      <c r="G5" s="12" t="s">
        <v>278</v>
      </c>
      <c r="H5" s="11" t="s">
        <v>1205</v>
      </c>
      <c r="I5" s="11" t="s">
        <v>1205</v>
      </c>
      <c r="J5" s="12" t="s">
        <v>865</v>
      </c>
      <c r="K5" s="8" t="s">
        <v>864</v>
      </c>
      <c r="L5" s="8" t="s">
        <v>63</v>
      </c>
      <c r="M5" s="28">
        <v>22.277000000000001</v>
      </c>
      <c r="N5" s="28">
        <v>-80.565066000000002</v>
      </c>
      <c r="O5" s="15"/>
      <c r="P5" s="15"/>
    </row>
    <row r="6" spans="2:16" ht="30">
      <c r="B6" s="8">
        <v>2794</v>
      </c>
      <c r="C6" s="11">
        <v>24013464</v>
      </c>
      <c r="D6" s="10">
        <v>13.3</v>
      </c>
      <c r="E6" s="13">
        <v>1350.9</v>
      </c>
      <c r="F6" s="8">
        <v>46071506449</v>
      </c>
      <c r="G6" s="12" t="s">
        <v>356</v>
      </c>
      <c r="H6" s="11" t="s">
        <v>1230</v>
      </c>
      <c r="I6" s="11" t="s">
        <v>1230</v>
      </c>
      <c r="J6" s="12" t="s">
        <v>869</v>
      </c>
      <c r="K6" s="8" t="s">
        <v>867</v>
      </c>
      <c r="L6" s="8" t="s">
        <v>358</v>
      </c>
      <c r="M6" s="28">
        <v>21.383011</v>
      </c>
      <c r="N6" s="28">
        <v>-77.912215000000003</v>
      </c>
      <c r="O6" s="15"/>
      <c r="P6" s="15"/>
    </row>
    <row r="7" spans="2:16" ht="30">
      <c r="B7" s="8">
        <v>2794</v>
      </c>
      <c r="C7" s="11">
        <v>24013477</v>
      </c>
      <c r="D7" s="10">
        <v>5.2</v>
      </c>
      <c r="E7" s="13">
        <v>295</v>
      </c>
      <c r="F7" s="8">
        <v>71121407784</v>
      </c>
      <c r="G7" s="12" t="s">
        <v>383</v>
      </c>
      <c r="H7" s="11" t="s">
        <v>1238</v>
      </c>
      <c r="I7" s="11" t="s">
        <v>1238</v>
      </c>
      <c r="J7" s="12" t="s">
        <v>1202</v>
      </c>
      <c r="K7" s="8" t="s">
        <v>867</v>
      </c>
      <c r="L7" s="8" t="s">
        <v>358</v>
      </c>
      <c r="M7" s="28">
        <v>21.379168</v>
      </c>
      <c r="N7" s="28">
        <v>-77.925943000000004</v>
      </c>
      <c r="O7" s="15"/>
      <c r="P7" s="15"/>
    </row>
    <row r="8" spans="2:16" ht="30">
      <c r="B8" s="8">
        <v>2794</v>
      </c>
      <c r="C8" s="11">
        <v>24013478</v>
      </c>
      <c r="D8" s="10">
        <v>16.600000000000001</v>
      </c>
      <c r="E8" s="13">
        <v>1502.1</v>
      </c>
      <c r="F8" s="8">
        <v>71121407784</v>
      </c>
      <c r="G8" s="12" t="s">
        <v>383</v>
      </c>
      <c r="H8" s="11" t="s">
        <v>1238</v>
      </c>
      <c r="I8" s="11" t="s">
        <v>1238</v>
      </c>
      <c r="J8" s="12" t="s">
        <v>1202</v>
      </c>
      <c r="K8" s="8" t="s">
        <v>867</v>
      </c>
      <c r="L8" s="8" t="s">
        <v>358</v>
      </c>
      <c r="M8" s="28">
        <v>21.379168</v>
      </c>
      <c r="N8" s="28">
        <v>-77.925943000000004</v>
      </c>
      <c r="O8" s="15"/>
      <c r="P8" s="15"/>
    </row>
    <row r="9" spans="2:16" ht="30">
      <c r="B9" s="8">
        <v>2794</v>
      </c>
      <c r="C9" s="11">
        <v>24013515</v>
      </c>
      <c r="D9" s="10">
        <v>12.5</v>
      </c>
      <c r="E9" s="13">
        <v>1048.5</v>
      </c>
      <c r="F9" s="8">
        <v>93032924289</v>
      </c>
      <c r="G9" s="12" t="s">
        <v>451</v>
      </c>
      <c r="H9" s="11" t="s">
        <v>1266</v>
      </c>
      <c r="I9" s="11" t="s">
        <v>1266</v>
      </c>
      <c r="J9" s="12" t="s">
        <v>1203</v>
      </c>
      <c r="K9" s="8" t="s">
        <v>867</v>
      </c>
      <c r="L9" s="8" t="s">
        <v>358</v>
      </c>
      <c r="M9" s="28">
        <v>21.393422000000001</v>
      </c>
      <c r="N9" s="28">
        <v>-77.912655000000001</v>
      </c>
      <c r="O9" s="15"/>
      <c r="P9" s="15"/>
    </row>
    <row r="10" spans="2:16" ht="30">
      <c r="B10" s="8">
        <v>2794</v>
      </c>
      <c r="C10" s="11">
        <v>24013475</v>
      </c>
      <c r="D10" s="10">
        <v>10.3</v>
      </c>
      <c r="E10" s="13">
        <v>821.7</v>
      </c>
      <c r="F10" s="8">
        <v>88071148699</v>
      </c>
      <c r="G10" s="12" t="s">
        <v>379</v>
      </c>
      <c r="H10" s="11" t="s">
        <v>1237</v>
      </c>
      <c r="I10" s="11" t="s">
        <v>1237</v>
      </c>
      <c r="J10" s="12" t="s">
        <v>952</v>
      </c>
      <c r="K10" s="8" t="s">
        <v>919</v>
      </c>
      <c r="L10" s="8" t="s">
        <v>931</v>
      </c>
      <c r="M10" s="28">
        <v>20.251429999999999</v>
      </c>
      <c r="N10" s="28">
        <v>-77.202066000000002</v>
      </c>
      <c r="O10" s="15"/>
      <c r="P10" s="15"/>
    </row>
    <row r="11" spans="2:16" ht="30">
      <c r="B11" s="8">
        <v>2794</v>
      </c>
      <c r="C11" s="11">
        <v>24013476</v>
      </c>
      <c r="D11" s="10">
        <v>15.6</v>
      </c>
      <c r="E11" s="13">
        <v>295</v>
      </c>
      <c r="F11" s="8">
        <v>88071148699</v>
      </c>
      <c r="G11" s="12" t="s">
        <v>379</v>
      </c>
      <c r="H11" s="11" t="s">
        <v>1237</v>
      </c>
      <c r="I11" s="11" t="s">
        <v>1237</v>
      </c>
      <c r="J11" s="12" t="s">
        <v>952</v>
      </c>
      <c r="K11" s="8" t="s">
        <v>919</v>
      </c>
      <c r="L11" s="8" t="s">
        <v>931</v>
      </c>
      <c r="M11" s="28">
        <v>20.251429999999999</v>
      </c>
      <c r="N11" s="28">
        <v>-77.202066000000002</v>
      </c>
      <c r="O11" s="15"/>
      <c r="P11" s="15"/>
    </row>
    <row r="12" spans="2:16" ht="30">
      <c r="B12" s="8">
        <v>2794</v>
      </c>
      <c r="C12" s="11">
        <v>24013492</v>
      </c>
      <c r="D12" s="10">
        <v>18.8</v>
      </c>
      <c r="E12" s="13">
        <v>1502.1</v>
      </c>
      <c r="F12" s="8">
        <v>3081380561</v>
      </c>
      <c r="G12" s="12" t="s">
        <v>411</v>
      </c>
      <c r="H12" s="11" t="s">
        <v>1251</v>
      </c>
      <c r="I12" s="11" t="s">
        <v>1251</v>
      </c>
      <c r="J12" s="12" t="s">
        <v>954</v>
      </c>
      <c r="K12" s="8" t="s">
        <v>919</v>
      </c>
      <c r="L12" s="8" t="s">
        <v>931</v>
      </c>
      <c r="M12" s="28">
        <v>20.338463000000001</v>
      </c>
      <c r="N12" s="28">
        <v>-77.112891000000005</v>
      </c>
      <c r="O12" s="15"/>
      <c r="P12" s="15"/>
    </row>
    <row r="13" spans="2:16" ht="15">
      <c r="B13" s="8">
        <v>2794</v>
      </c>
      <c r="C13" s="11">
        <v>24013532</v>
      </c>
      <c r="D13" s="10">
        <v>10.199999999999999</v>
      </c>
      <c r="E13" s="13">
        <v>821.7</v>
      </c>
      <c r="F13" s="8">
        <v>2010980975</v>
      </c>
      <c r="G13" s="12" t="s">
        <v>483</v>
      </c>
      <c r="H13" s="11" t="s">
        <v>1280</v>
      </c>
      <c r="I13" s="11" t="s">
        <v>1280</v>
      </c>
      <c r="J13" s="12" t="s">
        <v>956</v>
      </c>
      <c r="K13" s="8" t="s">
        <v>925</v>
      </c>
      <c r="L13" s="8" t="s">
        <v>931</v>
      </c>
      <c r="M13" s="28">
        <v>20.04909</v>
      </c>
      <c r="N13" s="28">
        <v>-77.583377999999996</v>
      </c>
      <c r="O13" s="15"/>
      <c r="P13" s="15"/>
    </row>
    <row r="14" spans="2:16" ht="15">
      <c r="B14" s="8">
        <v>2794</v>
      </c>
      <c r="C14" s="11">
        <v>24013533</v>
      </c>
      <c r="D14" s="10">
        <v>22.8</v>
      </c>
      <c r="E14" s="13">
        <v>1857</v>
      </c>
      <c r="F14" s="8">
        <v>2010980975</v>
      </c>
      <c r="G14" s="12" t="s">
        <v>483</v>
      </c>
      <c r="H14" s="11" t="s">
        <v>1280</v>
      </c>
      <c r="I14" s="11" t="s">
        <v>1280</v>
      </c>
      <c r="J14" s="12" t="s">
        <v>956</v>
      </c>
      <c r="K14" s="8" t="s">
        <v>925</v>
      </c>
      <c r="L14" s="8" t="s">
        <v>931</v>
      </c>
      <c r="M14" s="28">
        <v>20.04909</v>
      </c>
      <c r="N14" s="28">
        <v>-77.583377999999996</v>
      </c>
      <c r="O14" s="15"/>
      <c r="P14" s="15"/>
    </row>
    <row r="15" spans="2:16" ht="30">
      <c r="B15" s="8">
        <v>2794</v>
      </c>
      <c r="C15" s="11">
        <v>24013427</v>
      </c>
      <c r="D15" s="10">
        <v>18.399999999999999</v>
      </c>
      <c r="E15" s="13">
        <v>1426.5</v>
      </c>
      <c r="F15" s="8">
        <v>1102782967</v>
      </c>
      <c r="G15" s="12" t="s">
        <v>282</v>
      </c>
      <c r="H15" s="11" t="s">
        <v>1206</v>
      </c>
      <c r="I15" s="11" t="s">
        <v>1206</v>
      </c>
      <c r="J15" s="12" t="s">
        <v>1016</v>
      </c>
      <c r="K15" s="8" t="s">
        <v>997</v>
      </c>
      <c r="L15" s="8" t="s">
        <v>1012</v>
      </c>
      <c r="M15" s="28">
        <v>20.126829000000001</v>
      </c>
      <c r="N15" s="28">
        <v>-75.217786000000004</v>
      </c>
      <c r="O15" s="15"/>
      <c r="P15" s="15"/>
    </row>
    <row r="16" spans="2:16" ht="30">
      <c r="B16" s="8">
        <v>2794</v>
      </c>
      <c r="C16" s="11">
        <v>24013437</v>
      </c>
      <c r="D16" s="10">
        <v>22.1</v>
      </c>
      <c r="E16" s="13">
        <v>1781.4</v>
      </c>
      <c r="F16" s="8">
        <v>98080127925</v>
      </c>
      <c r="G16" s="12" t="s">
        <v>302</v>
      </c>
      <c r="H16" s="11" t="s">
        <v>1212</v>
      </c>
      <c r="I16" s="11" t="s">
        <v>1212</v>
      </c>
      <c r="J16" s="12" t="s">
        <v>1028</v>
      </c>
      <c r="K16" s="8" t="s">
        <v>997</v>
      </c>
      <c r="L16" s="8" t="s">
        <v>1012</v>
      </c>
      <c r="M16" s="28">
        <v>20.141120000000001</v>
      </c>
      <c r="N16" s="28">
        <v>-75.204744000000005</v>
      </c>
      <c r="O16" s="15"/>
      <c r="P16" s="15"/>
    </row>
    <row r="17" spans="2:16" ht="30">
      <c r="B17" s="8">
        <v>2794</v>
      </c>
      <c r="C17" s="11">
        <v>24013460</v>
      </c>
      <c r="D17" s="10">
        <v>24</v>
      </c>
      <c r="E17" s="13">
        <v>1932.6</v>
      </c>
      <c r="F17" s="8">
        <v>94092049072</v>
      </c>
      <c r="G17" s="12" t="s">
        <v>348</v>
      </c>
      <c r="H17" s="11" t="s">
        <v>1227</v>
      </c>
      <c r="I17" s="11" t="s">
        <v>1227</v>
      </c>
      <c r="J17" s="12" t="s">
        <v>1032</v>
      </c>
      <c r="K17" s="8" t="s">
        <v>997</v>
      </c>
      <c r="L17" s="8" t="s">
        <v>1012</v>
      </c>
      <c r="M17" s="28">
        <v>20.144058999999999</v>
      </c>
      <c r="N17" s="28">
        <v>-75.204552000000007</v>
      </c>
      <c r="O17" s="15"/>
      <c r="P17" s="15"/>
    </row>
    <row r="18" spans="2:16" ht="30">
      <c r="B18" s="8">
        <v>2794</v>
      </c>
      <c r="C18" s="11">
        <v>24013480</v>
      </c>
      <c r="D18" s="10">
        <v>15.8</v>
      </c>
      <c r="E18" s="13">
        <v>295</v>
      </c>
      <c r="F18" s="8">
        <v>81021724939</v>
      </c>
      <c r="G18" s="12" t="s">
        <v>388</v>
      </c>
      <c r="H18" s="11" t="s">
        <v>1240</v>
      </c>
      <c r="I18" s="11" t="s">
        <v>1240</v>
      </c>
      <c r="J18" s="12" t="s">
        <v>1015</v>
      </c>
      <c r="K18" s="8" t="s">
        <v>997</v>
      </c>
      <c r="L18" s="8" t="s">
        <v>1012</v>
      </c>
      <c r="M18" s="28">
        <v>20.159344000000001</v>
      </c>
      <c r="N18" s="28">
        <v>-75.207044999999994</v>
      </c>
      <c r="O18" s="15"/>
      <c r="P18" s="15"/>
    </row>
    <row r="19" spans="2:16" ht="30">
      <c r="B19" s="8">
        <v>2794</v>
      </c>
      <c r="C19" s="11">
        <v>24013518</v>
      </c>
      <c r="D19" s="10">
        <v>21.9</v>
      </c>
      <c r="E19" s="13">
        <v>1781.4</v>
      </c>
      <c r="F19" s="8">
        <v>56090100713</v>
      </c>
      <c r="G19" s="12" t="s">
        <v>457</v>
      </c>
      <c r="H19" s="11" t="s">
        <v>1269</v>
      </c>
      <c r="I19" s="11" t="s">
        <v>1269</v>
      </c>
      <c r="J19" s="12" t="s">
        <v>1017</v>
      </c>
      <c r="K19" s="8" t="s">
        <v>997</v>
      </c>
      <c r="L19" s="8" t="s">
        <v>1012</v>
      </c>
      <c r="M19" s="28">
        <v>20.164453000000002</v>
      </c>
      <c r="N19" s="28">
        <v>-75.214538000000005</v>
      </c>
      <c r="O19" s="15"/>
      <c r="P19" s="15"/>
    </row>
    <row r="20" spans="2:16" ht="30">
      <c r="B20" s="8">
        <v>2794</v>
      </c>
      <c r="C20" s="11">
        <v>24013558</v>
      </c>
      <c r="D20" s="10">
        <v>22.6</v>
      </c>
      <c r="E20" s="13">
        <v>1857</v>
      </c>
      <c r="F20" s="8">
        <v>81021724939</v>
      </c>
      <c r="G20" s="12" t="s">
        <v>388</v>
      </c>
      <c r="H20" s="11" t="s">
        <v>1240</v>
      </c>
      <c r="I20" s="11" t="s">
        <v>1240</v>
      </c>
      <c r="J20" s="12" t="s">
        <v>1015</v>
      </c>
      <c r="K20" s="8" t="s">
        <v>997</v>
      </c>
      <c r="L20" s="8" t="s">
        <v>1012</v>
      </c>
      <c r="M20" s="28">
        <v>20.159344000000001</v>
      </c>
      <c r="N20" s="28">
        <v>-75.207044999999994</v>
      </c>
      <c r="O20" s="15"/>
      <c r="P20" s="15"/>
    </row>
    <row r="21" spans="2:16" ht="30">
      <c r="B21" s="8">
        <v>2794</v>
      </c>
      <c r="C21" s="11">
        <v>24013525</v>
      </c>
      <c r="D21" s="10">
        <v>11.9</v>
      </c>
      <c r="E21" s="13">
        <v>972.9</v>
      </c>
      <c r="F21" s="8">
        <v>93120422426</v>
      </c>
      <c r="G21" s="12" t="s">
        <v>472</v>
      </c>
      <c r="H21" s="11" t="s">
        <v>1275</v>
      </c>
      <c r="I21" s="11" t="s">
        <v>1275</v>
      </c>
      <c r="J21" s="12" t="s">
        <v>881</v>
      </c>
      <c r="K21" s="8" t="s">
        <v>842</v>
      </c>
      <c r="L21" s="8" t="s">
        <v>104</v>
      </c>
      <c r="M21" s="28">
        <v>23.134616999999999</v>
      </c>
      <c r="N21" s="28">
        <v>-82.371081000000004</v>
      </c>
      <c r="O21" s="15"/>
      <c r="P21" s="15"/>
    </row>
    <row r="22" spans="2:16" ht="30">
      <c r="B22" s="8">
        <v>2794</v>
      </c>
      <c r="C22" s="11">
        <v>24013530</v>
      </c>
      <c r="D22" s="10">
        <v>13.9</v>
      </c>
      <c r="E22" s="13">
        <v>1124.0999999999999</v>
      </c>
      <c r="F22" s="8">
        <v>69111432818</v>
      </c>
      <c r="G22" s="12" t="s">
        <v>479</v>
      </c>
      <c r="H22" s="11" t="s">
        <v>1278</v>
      </c>
      <c r="I22" s="11" t="s">
        <v>1278</v>
      </c>
      <c r="J22" s="12" t="s">
        <v>883</v>
      </c>
      <c r="K22" s="8" t="s">
        <v>845</v>
      </c>
      <c r="L22" s="8" t="s">
        <v>104</v>
      </c>
      <c r="M22" s="28">
        <v>23.101438000000002</v>
      </c>
      <c r="N22" s="28">
        <v>-82.383177000000003</v>
      </c>
      <c r="O22" s="15"/>
      <c r="P22" s="15"/>
    </row>
    <row r="23" spans="2:16" ht="30">
      <c r="B23" s="8">
        <v>2794</v>
      </c>
      <c r="C23" s="11">
        <v>24013436</v>
      </c>
      <c r="D23" s="10">
        <v>24.1</v>
      </c>
      <c r="E23" s="13">
        <v>1932.6</v>
      </c>
      <c r="F23" s="8">
        <v>83022306588</v>
      </c>
      <c r="G23" s="12" t="s">
        <v>299</v>
      </c>
      <c r="H23" s="11" t="s">
        <v>1211</v>
      </c>
      <c r="I23" s="11" t="s">
        <v>1211</v>
      </c>
      <c r="J23" s="12" t="s">
        <v>885</v>
      </c>
      <c r="K23" s="8" t="s">
        <v>838</v>
      </c>
      <c r="L23" s="8" t="s">
        <v>104</v>
      </c>
      <c r="M23" s="28">
        <v>23.105204000000001</v>
      </c>
      <c r="N23" s="28">
        <v>-82.371781999999996</v>
      </c>
      <c r="O23" s="15"/>
      <c r="P23" s="15"/>
    </row>
    <row r="24" spans="2:16" ht="30">
      <c r="B24" s="8">
        <v>2794</v>
      </c>
      <c r="C24" s="11">
        <v>24013513</v>
      </c>
      <c r="D24" s="10">
        <v>19.22</v>
      </c>
      <c r="E24" s="13">
        <v>1502.1</v>
      </c>
      <c r="F24" s="8">
        <v>56111308717</v>
      </c>
      <c r="G24" s="12" t="s">
        <v>447</v>
      </c>
      <c r="H24" s="11" t="s">
        <v>1264</v>
      </c>
      <c r="I24" s="11" t="s">
        <v>1264</v>
      </c>
      <c r="J24" s="12" t="s">
        <v>888</v>
      </c>
      <c r="K24" s="8" t="s">
        <v>838</v>
      </c>
      <c r="L24" s="8" t="s">
        <v>104</v>
      </c>
      <c r="M24" s="28">
        <v>23.112145000000002</v>
      </c>
      <c r="N24" s="28">
        <v>-82.356266000000005</v>
      </c>
      <c r="O24" s="15"/>
      <c r="P24" s="15"/>
    </row>
    <row r="25" spans="2:16" ht="30">
      <c r="B25" s="8">
        <v>2794</v>
      </c>
      <c r="C25" s="11">
        <v>24013520</v>
      </c>
      <c r="D25" s="10">
        <v>16</v>
      </c>
      <c r="E25" s="13">
        <v>1275.3</v>
      </c>
      <c r="F25" s="8">
        <v>92021428572</v>
      </c>
      <c r="G25" s="12" t="s">
        <v>462</v>
      </c>
      <c r="H25" s="11" t="s">
        <v>1271</v>
      </c>
      <c r="I25" s="11" t="s">
        <v>1271</v>
      </c>
      <c r="J25" s="12" t="s">
        <v>886</v>
      </c>
      <c r="K25" s="8" t="s">
        <v>838</v>
      </c>
      <c r="L25" s="8" t="s">
        <v>104</v>
      </c>
      <c r="M25" s="28">
        <v>23.104150000000001</v>
      </c>
      <c r="N25" s="28">
        <v>-82.349479000000002</v>
      </c>
      <c r="O25" s="15"/>
      <c r="P25" s="15"/>
    </row>
    <row r="26" spans="2:16" ht="30">
      <c r="B26" s="8">
        <v>2794</v>
      </c>
      <c r="C26" s="11">
        <v>24013472</v>
      </c>
      <c r="D26" s="10">
        <v>12.1</v>
      </c>
      <c r="E26" s="13">
        <v>1199.7</v>
      </c>
      <c r="F26" s="8">
        <v>61110500979</v>
      </c>
      <c r="G26" s="12" t="s">
        <v>373</v>
      </c>
      <c r="H26" s="11" t="s">
        <v>1235</v>
      </c>
      <c r="I26" s="11" t="s">
        <v>1235</v>
      </c>
      <c r="J26" s="12" t="s">
        <v>905</v>
      </c>
      <c r="K26" s="8" t="s">
        <v>846</v>
      </c>
      <c r="L26" s="8" t="s">
        <v>104</v>
      </c>
      <c r="M26" s="28">
        <v>23.152699999999999</v>
      </c>
      <c r="N26" s="28">
        <v>-82.305841000000001</v>
      </c>
      <c r="O26" s="15"/>
      <c r="P26" s="15"/>
    </row>
    <row r="27" spans="2:16" ht="30">
      <c r="B27" s="8">
        <v>2794</v>
      </c>
      <c r="C27" s="11">
        <v>24013548</v>
      </c>
      <c r="D27" s="10">
        <v>20.3</v>
      </c>
      <c r="E27" s="13">
        <v>295</v>
      </c>
      <c r="F27" s="8">
        <v>71121908497</v>
      </c>
      <c r="G27" s="12" t="s">
        <v>508</v>
      </c>
      <c r="H27" s="11" t="s">
        <v>1286</v>
      </c>
      <c r="I27" s="11" t="s">
        <v>1286</v>
      </c>
      <c r="J27" s="12" t="s">
        <v>907</v>
      </c>
      <c r="K27" s="8" t="s">
        <v>836</v>
      </c>
      <c r="L27" s="8" t="s">
        <v>104</v>
      </c>
      <c r="M27" s="28">
        <v>23.060040999999998</v>
      </c>
      <c r="N27" s="28">
        <v>-82.468214000000003</v>
      </c>
      <c r="O27" s="15"/>
      <c r="P27" s="15"/>
    </row>
    <row r="28" spans="2:16" ht="30">
      <c r="B28" s="8">
        <v>2794</v>
      </c>
      <c r="C28" s="11">
        <v>24013489</v>
      </c>
      <c r="D28" s="10">
        <v>2.9</v>
      </c>
      <c r="E28" s="13">
        <v>295</v>
      </c>
      <c r="F28" s="8">
        <v>61110805874</v>
      </c>
      <c r="G28" s="12" t="s">
        <v>406</v>
      </c>
      <c r="H28" s="11" t="s">
        <v>1247</v>
      </c>
      <c r="I28" s="11" t="s">
        <v>1247</v>
      </c>
      <c r="J28" s="12" t="s">
        <v>897</v>
      </c>
      <c r="K28" s="8" t="s">
        <v>843</v>
      </c>
      <c r="L28" s="8" t="s">
        <v>104</v>
      </c>
      <c r="M28" s="28">
        <v>23.079301999999998</v>
      </c>
      <c r="N28" s="28">
        <v>-82.433862000000005</v>
      </c>
      <c r="O28" s="15"/>
      <c r="P28" s="15"/>
    </row>
    <row r="29" spans="2:16" ht="15">
      <c r="B29" s="8">
        <v>2794</v>
      </c>
      <c r="C29" s="11">
        <v>24013450</v>
      </c>
      <c r="D29" s="10">
        <v>12.9</v>
      </c>
      <c r="E29" s="13">
        <v>1048.5</v>
      </c>
      <c r="F29" s="8">
        <v>42110206390</v>
      </c>
      <c r="G29" s="12" t="s">
        <v>330</v>
      </c>
      <c r="H29" s="11" t="s">
        <v>1221</v>
      </c>
      <c r="I29" s="11" t="s">
        <v>1221</v>
      </c>
      <c r="J29" s="12" t="s">
        <v>893</v>
      </c>
      <c r="K29" s="8" t="s">
        <v>837</v>
      </c>
      <c r="L29" s="8" t="s">
        <v>104</v>
      </c>
      <c r="M29" s="28">
        <v>23.077973</v>
      </c>
      <c r="N29" s="28">
        <v>-82.508910999999998</v>
      </c>
      <c r="O29" s="15"/>
      <c r="P29" s="15"/>
    </row>
    <row r="30" spans="2:16" ht="15">
      <c r="B30" s="8">
        <v>2794</v>
      </c>
      <c r="C30" s="11">
        <v>24013451</v>
      </c>
      <c r="D30" s="10">
        <v>12.3</v>
      </c>
      <c r="E30" s="13">
        <v>972.9</v>
      </c>
      <c r="F30" s="8">
        <v>42110206390</v>
      </c>
      <c r="G30" s="12" t="s">
        <v>330</v>
      </c>
      <c r="H30" s="11" t="s">
        <v>1221</v>
      </c>
      <c r="I30" s="11" t="s">
        <v>1221</v>
      </c>
      <c r="J30" s="12" t="s">
        <v>893</v>
      </c>
      <c r="K30" s="8" t="s">
        <v>837</v>
      </c>
      <c r="L30" s="8" t="s">
        <v>104</v>
      </c>
      <c r="M30" s="28">
        <v>23.077973</v>
      </c>
      <c r="N30" s="28">
        <v>-82.508910999999998</v>
      </c>
      <c r="O30" s="15"/>
      <c r="P30" s="15"/>
    </row>
    <row r="31" spans="2:16" ht="15">
      <c r="B31" s="8">
        <v>2794</v>
      </c>
      <c r="C31" s="11">
        <v>24013452</v>
      </c>
      <c r="D31" s="10">
        <v>12.3</v>
      </c>
      <c r="E31" s="13"/>
      <c r="F31" s="8">
        <v>42110206390</v>
      </c>
      <c r="G31" s="12" t="s">
        <v>330</v>
      </c>
      <c r="H31" s="11" t="s">
        <v>1221</v>
      </c>
      <c r="I31" s="11" t="s">
        <v>1221</v>
      </c>
      <c r="J31" s="12" t="s">
        <v>893</v>
      </c>
      <c r="K31" s="8" t="s">
        <v>837</v>
      </c>
      <c r="L31" s="8" t="s">
        <v>104</v>
      </c>
      <c r="M31" s="28">
        <v>23.077973</v>
      </c>
      <c r="N31" s="28">
        <v>-82.508910999999998</v>
      </c>
      <c r="O31" s="15"/>
      <c r="P31" s="15"/>
    </row>
    <row r="32" spans="2:16" ht="15">
      <c r="B32" s="8">
        <v>2794</v>
      </c>
      <c r="C32" s="11">
        <v>24013453</v>
      </c>
      <c r="D32" s="10">
        <v>12.8</v>
      </c>
      <c r="E32" s="13">
        <v>1048.5</v>
      </c>
      <c r="F32" s="8">
        <v>66122502681</v>
      </c>
      <c r="G32" s="12" t="s">
        <v>332</v>
      </c>
      <c r="H32" s="11" t="s">
        <v>1221</v>
      </c>
      <c r="I32" s="11" t="s">
        <v>1221</v>
      </c>
      <c r="J32" s="12" t="s">
        <v>893</v>
      </c>
      <c r="K32" s="8" t="s">
        <v>837</v>
      </c>
      <c r="L32" s="8" t="s">
        <v>104</v>
      </c>
      <c r="M32" s="28">
        <v>23.077973</v>
      </c>
      <c r="N32" s="28">
        <v>-82.508910999999998</v>
      </c>
      <c r="O32" s="15"/>
      <c r="P32" s="15"/>
    </row>
    <row r="33" spans="2:16" ht="15">
      <c r="B33" s="8">
        <v>2794</v>
      </c>
      <c r="C33" s="11">
        <v>24013479</v>
      </c>
      <c r="D33" s="10">
        <v>5.9</v>
      </c>
      <c r="E33" s="13">
        <v>295</v>
      </c>
      <c r="F33" s="8">
        <v>69091702814</v>
      </c>
      <c r="G33" s="12" t="s">
        <v>385</v>
      </c>
      <c r="H33" s="11" t="s">
        <v>1239</v>
      </c>
      <c r="I33" s="11" t="s">
        <v>1239</v>
      </c>
      <c r="J33" s="12" t="s">
        <v>890</v>
      </c>
      <c r="K33" s="8" t="s">
        <v>841</v>
      </c>
      <c r="L33" s="8" t="s">
        <v>104</v>
      </c>
      <c r="M33" s="28">
        <v>23.123097000000001</v>
      </c>
      <c r="N33" s="28">
        <v>-82.392708999999996</v>
      </c>
      <c r="O33" s="15"/>
      <c r="P33" s="15"/>
    </row>
    <row r="34" spans="2:16" ht="30">
      <c r="B34" s="8">
        <v>2794</v>
      </c>
      <c r="C34" s="11">
        <v>24013507</v>
      </c>
      <c r="D34" s="10">
        <v>22</v>
      </c>
      <c r="E34" s="13">
        <v>1781.4</v>
      </c>
      <c r="F34" s="8">
        <v>70010415863</v>
      </c>
      <c r="G34" s="12" t="s">
        <v>439</v>
      </c>
      <c r="H34" s="11" t="s">
        <v>1262</v>
      </c>
      <c r="I34" s="11" t="s">
        <v>1262</v>
      </c>
      <c r="J34" s="12" t="s">
        <v>892</v>
      </c>
      <c r="K34" s="8" t="s">
        <v>841</v>
      </c>
      <c r="L34" s="8" t="s">
        <v>104</v>
      </c>
      <c r="M34" s="28">
        <v>23.107008</v>
      </c>
      <c r="N34" s="28">
        <v>-82.402465000000007</v>
      </c>
      <c r="O34" s="15"/>
      <c r="P34" s="15"/>
    </row>
    <row r="35" spans="2:16" ht="60">
      <c r="B35" s="8">
        <v>2794</v>
      </c>
      <c r="C35" s="11">
        <v>24013447</v>
      </c>
      <c r="D35" s="10">
        <v>22.2</v>
      </c>
      <c r="E35" s="13">
        <v>1539.9</v>
      </c>
      <c r="F35" s="8">
        <v>63061815235</v>
      </c>
      <c r="G35" s="12" t="s">
        <v>325</v>
      </c>
      <c r="H35" s="11" t="s">
        <v>1219</v>
      </c>
      <c r="I35" s="11" t="s">
        <v>1219</v>
      </c>
      <c r="J35" s="12" t="s">
        <v>872</v>
      </c>
      <c r="K35" s="8" t="s">
        <v>840</v>
      </c>
      <c r="L35" s="8" t="s">
        <v>104</v>
      </c>
      <c r="M35" s="28">
        <v>23.085554999999999</v>
      </c>
      <c r="N35" s="28">
        <v>-82.305795000000003</v>
      </c>
      <c r="O35" s="15"/>
      <c r="P35" s="15"/>
    </row>
    <row r="36" spans="2:16" ht="60">
      <c r="B36" s="8">
        <v>2794</v>
      </c>
      <c r="C36" s="11">
        <v>24013448</v>
      </c>
      <c r="D36" s="10">
        <v>5</v>
      </c>
      <c r="E36" s="13">
        <v>670.5</v>
      </c>
      <c r="F36" s="8">
        <v>63061815235</v>
      </c>
      <c r="G36" s="12" t="s">
        <v>325</v>
      </c>
      <c r="H36" s="11" t="s">
        <v>1219</v>
      </c>
      <c r="I36" s="11" t="s">
        <v>1219</v>
      </c>
      <c r="J36" s="12" t="s">
        <v>872</v>
      </c>
      <c r="K36" s="8" t="s">
        <v>840</v>
      </c>
      <c r="L36" s="8" t="s">
        <v>104</v>
      </c>
      <c r="M36" s="28">
        <v>23.085554999999999</v>
      </c>
      <c r="N36" s="28">
        <v>-82.305795000000003</v>
      </c>
      <c r="O36" s="15"/>
      <c r="P36" s="15"/>
    </row>
    <row r="37" spans="2:16" ht="30">
      <c r="B37" s="8">
        <v>2794</v>
      </c>
      <c r="C37" s="11">
        <v>24013483</v>
      </c>
      <c r="D37" s="10">
        <v>27.4</v>
      </c>
      <c r="E37" s="13">
        <v>2613</v>
      </c>
      <c r="F37" s="8">
        <v>99021919322</v>
      </c>
      <c r="G37" s="12" t="s">
        <v>393</v>
      </c>
      <c r="H37" s="11" t="s">
        <v>1242</v>
      </c>
      <c r="I37" s="11" t="s">
        <v>1242</v>
      </c>
      <c r="J37" s="12" t="s">
        <v>953</v>
      </c>
      <c r="K37" s="8" t="s">
        <v>924</v>
      </c>
      <c r="L37" s="8" t="s">
        <v>69</v>
      </c>
      <c r="M37" s="28">
        <v>20.832884</v>
      </c>
      <c r="N37" s="28">
        <v>-75.736881999999994</v>
      </c>
      <c r="O37" s="15"/>
      <c r="P37" s="15"/>
    </row>
    <row r="38" spans="2:16" ht="30">
      <c r="B38" s="8">
        <v>2794</v>
      </c>
      <c r="C38" s="11">
        <v>24013459</v>
      </c>
      <c r="D38" s="10">
        <v>11.5</v>
      </c>
      <c r="E38" s="13">
        <v>670.5</v>
      </c>
      <c r="F38" s="8">
        <v>74082716370</v>
      </c>
      <c r="G38" s="12" t="s">
        <v>346</v>
      </c>
      <c r="H38" s="11" t="s">
        <v>1226</v>
      </c>
      <c r="I38" s="11" t="s">
        <v>1226</v>
      </c>
      <c r="J38" s="12" t="s">
        <v>951</v>
      </c>
      <c r="K38" s="8" t="s">
        <v>917</v>
      </c>
      <c r="L38" s="8" t="s">
        <v>69</v>
      </c>
      <c r="M38" s="28">
        <v>20.963442000000001</v>
      </c>
      <c r="N38" s="28">
        <v>-75.720905000000002</v>
      </c>
      <c r="O38" s="15"/>
      <c r="P38" s="15"/>
    </row>
    <row r="39" spans="2:16" ht="15">
      <c r="B39" s="8">
        <v>2794</v>
      </c>
      <c r="C39" s="11">
        <v>24013552</v>
      </c>
      <c r="D39" s="10">
        <v>14.4</v>
      </c>
      <c r="E39" s="13">
        <v>1124.0999999999999</v>
      </c>
      <c r="F39" s="8">
        <v>75080718414</v>
      </c>
      <c r="G39" s="12" t="s">
        <v>518</v>
      </c>
      <c r="H39" s="11" t="s">
        <v>1289</v>
      </c>
      <c r="I39" s="11" t="s">
        <v>1289</v>
      </c>
      <c r="J39" s="12" t="s">
        <v>958</v>
      </c>
      <c r="K39" s="8" t="s">
        <v>917</v>
      </c>
      <c r="L39" s="8" t="s">
        <v>69</v>
      </c>
      <c r="M39" s="28">
        <v>20.828453</v>
      </c>
      <c r="N39" s="28">
        <v>-75.837339</v>
      </c>
      <c r="O39" s="15"/>
      <c r="P39" s="15"/>
    </row>
    <row r="40" spans="2:16" ht="15">
      <c r="B40" s="8">
        <v>2794</v>
      </c>
      <c r="C40" s="11">
        <v>24013553</v>
      </c>
      <c r="D40" s="10">
        <v>12.3</v>
      </c>
      <c r="E40" s="13">
        <v>972.9</v>
      </c>
      <c r="F40" s="8">
        <v>75080718414</v>
      </c>
      <c r="G40" s="12" t="s">
        <v>518</v>
      </c>
      <c r="H40" s="11" t="s">
        <v>1289</v>
      </c>
      <c r="I40" s="11" t="s">
        <v>1289</v>
      </c>
      <c r="J40" s="12" t="s">
        <v>958</v>
      </c>
      <c r="K40" s="8" t="s">
        <v>917</v>
      </c>
      <c r="L40" s="8" t="s">
        <v>69</v>
      </c>
      <c r="M40" s="28">
        <v>20.828453</v>
      </c>
      <c r="N40" s="28">
        <v>-75.837339</v>
      </c>
      <c r="O40" s="15"/>
      <c r="P40" s="15"/>
    </row>
    <row r="41" spans="2:16" ht="15">
      <c r="B41" s="8">
        <v>2794</v>
      </c>
      <c r="C41" s="11">
        <v>24013554</v>
      </c>
      <c r="D41" s="10">
        <v>17.7</v>
      </c>
      <c r="E41" s="13">
        <v>1426.5</v>
      </c>
      <c r="F41" s="8">
        <v>75080718414</v>
      </c>
      <c r="G41" s="12" t="s">
        <v>518</v>
      </c>
      <c r="H41" s="11" t="s">
        <v>1289</v>
      </c>
      <c r="I41" s="11" t="s">
        <v>1289</v>
      </c>
      <c r="J41" s="12" t="s">
        <v>958</v>
      </c>
      <c r="K41" s="8" t="s">
        <v>917</v>
      </c>
      <c r="L41" s="8" t="s">
        <v>69</v>
      </c>
      <c r="M41" s="28">
        <v>20.828453</v>
      </c>
      <c r="N41" s="28">
        <v>-75.837339</v>
      </c>
      <c r="O41" s="15"/>
      <c r="P41" s="15"/>
    </row>
    <row r="42" spans="2:16" ht="15">
      <c r="B42" s="8">
        <v>2794</v>
      </c>
      <c r="C42" s="11">
        <v>24013555</v>
      </c>
      <c r="D42" s="10">
        <v>16.2</v>
      </c>
      <c r="E42" s="13">
        <v>1502.1</v>
      </c>
      <c r="F42" s="8">
        <v>91080442908</v>
      </c>
      <c r="G42" s="12" t="s">
        <v>521</v>
      </c>
      <c r="H42" s="11" t="s">
        <v>1290</v>
      </c>
      <c r="I42" s="11" t="s">
        <v>1290</v>
      </c>
      <c r="J42" s="12" t="s">
        <v>958</v>
      </c>
      <c r="K42" s="8" t="s">
        <v>917</v>
      </c>
      <c r="L42" s="8" t="s">
        <v>69</v>
      </c>
      <c r="M42" s="28">
        <v>20.828453</v>
      </c>
      <c r="N42" s="28">
        <v>-75.837339</v>
      </c>
      <c r="O42" s="15"/>
      <c r="P42" s="15"/>
    </row>
    <row r="43" spans="2:16" ht="30">
      <c r="B43" s="8">
        <v>2794</v>
      </c>
      <c r="C43" s="11">
        <v>24013559</v>
      </c>
      <c r="D43" s="10">
        <v>22</v>
      </c>
      <c r="E43" s="13">
        <v>1275.3</v>
      </c>
      <c r="F43" s="8">
        <v>71050609972</v>
      </c>
      <c r="G43" s="12" t="s">
        <v>526</v>
      </c>
      <c r="H43" s="11" t="s">
        <v>1169</v>
      </c>
      <c r="I43" s="11" t="s">
        <v>1169</v>
      </c>
      <c r="J43" s="12" t="s">
        <v>939</v>
      </c>
      <c r="K43" s="8" t="s">
        <v>920</v>
      </c>
      <c r="L43" s="8" t="s">
        <v>69</v>
      </c>
      <c r="M43" s="28">
        <v>20.670024999999999</v>
      </c>
      <c r="N43" s="28">
        <v>-75.258142000000007</v>
      </c>
      <c r="O43" s="15"/>
      <c r="P43" s="15"/>
    </row>
    <row r="44" spans="2:16" ht="30">
      <c r="B44" s="8">
        <v>2794</v>
      </c>
      <c r="C44" s="11">
        <v>24013430</v>
      </c>
      <c r="D44" s="10">
        <v>17.399999999999999</v>
      </c>
      <c r="E44" s="13">
        <v>1350.9</v>
      </c>
      <c r="F44" s="8">
        <v>89101437434</v>
      </c>
      <c r="G44" s="12" t="s">
        <v>289</v>
      </c>
      <c r="H44" s="11" t="s">
        <v>1209</v>
      </c>
      <c r="I44" s="11" t="s">
        <v>1209</v>
      </c>
      <c r="J44" s="12" t="s">
        <v>946</v>
      </c>
      <c r="K44" s="8" t="s">
        <v>922</v>
      </c>
      <c r="L44" s="8" t="s">
        <v>69</v>
      </c>
      <c r="M44" s="28">
        <v>21.110945000000001</v>
      </c>
      <c r="N44" s="28">
        <v>-76.133002000000005</v>
      </c>
      <c r="O44" s="15"/>
      <c r="P44" s="15"/>
    </row>
    <row r="45" spans="2:16" ht="30">
      <c r="B45" s="8">
        <v>2794</v>
      </c>
      <c r="C45" s="11">
        <v>24013431</v>
      </c>
      <c r="D45" s="10">
        <v>17.899999999999999</v>
      </c>
      <c r="E45" s="13">
        <v>1426.5</v>
      </c>
      <c r="F45" s="8">
        <v>89101437434</v>
      </c>
      <c r="G45" s="12" t="s">
        <v>289</v>
      </c>
      <c r="H45" s="11" t="s">
        <v>1209</v>
      </c>
      <c r="I45" s="11" t="s">
        <v>1209</v>
      </c>
      <c r="J45" s="12" t="s">
        <v>946</v>
      </c>
      <c r="K45" s="8" t="s">
        <v>922</v>
      </c>
      <c r="L45" s="8" t="s">
        <v>69</v>
      </c>
      <c r="M45" s="28">
        <v>21.110945000000001</v>
      </c>
      <c r="N45" s="28">
        <v>-76.133002000000005</v>
      </c>
      <c r="O45" s="15"/>
      <c r="P45" s="15"/>
    </row>
    <row r="46" spans="2:16" ht="30">
      <c r="B46" s="8">
        <v>2794</v>
      </c>
      <c r="C46" s="11">
        <v>24013432</v>
      </c>
      <c r="D46" s="10">
        <v>3</v>
      </c>
      <c r="E46" s="13">
        <v>295</v>
      </c>
      <c r="F46" s="8">
        <v>89101437434</v>
      </c>
      <c r="G46" s="12" t="s">
        <v>289</v>
      </c>
      <c r="H46" s="11" t="s">
        <v>1209</v>
      </c>
      <c r="I46" s="11" t="s">
        <v>1209</v>
      </c>
      <c r="J46" s="12" t="s">
        <v>946</v>
      </c>
      <c r="K46" s="8" t="s">
        <v>922</v>
      </c>
      <c r="L46" s="8" t="s">
        <v>69</v>
      </c>
      <c r="M46" s="28">
        <v>21.110945000000001</v>
      </c>
      <c r="N46" s="28">
        <v>-76.133002000000005</v>
      </c>
      <c r="O46" s="15"/>
      <c r="P46" s="15"/>
    </row>
    <row r="47" spans="2:16" ht="30">
      <c r="B47" s="8">
        <v>2794</v>
      </c>
      <c r="C47" s="11">
        <v>24013529</v>
      </c>
      <c r="D47" s="10">
        <v>17.600000000000001</v>
      </c>
      <c r="E47" s="13">
        <v>1426.5</v>
      </c>
      <c r="F47" s="8">
        <v>89101437434</v>
      </c>
      <c r="G47" s="12" t="s">
        <v>289</v>
      </c>
      <c r="H47" s="11" t="s">
        <v>1209</v>
      </c>
      <c r="I47" s="11" t="s">
        <v>1209</v>
      </c>
      <c r="J47" s="12" t="s">
        <v>946</v>
      </c>
      <c r="K47" s="8" t="s">
        <v>922</v>
      </c>
      <c r="L47" s="8" t="s">
        <v>69</v>
      </c>
      <c r="M47" s="28">
        <v>21.110945000000001</v>
      </c>
      <c r="N47" s="28">
        <v>-76.133002000000005</v>
      </c>
      <c r="O47" s="15"/>
      <c r="P47" s="15"/>
    </row>
    <row r="48" spans="2:16" ht="30">
      <c r="B48" s="8">
        <v>2794</v>
      </c>
      <c r="C48" s="11">
        <v>24013456</v>
      </c>
      <c r="D48" s="10">
        <v>4.8</v>
      </c>
      <c r="E48" s="13">
        <v>519.29999999999995</v>
      </c>
      <c r="F48" s="8">
        <v>69022813965</v>
      </c>
      <c r="G48" s="12" t="s">
        <v>338</v>
      </c>
      <c r="H48" s="11" t="s">
        <v>1223</v>
      </c>
      <c r="I48" s="11" t="s">
        <v>1223</v>
      </c>
      <c r="J48" s="12" t="s">
        <v>948</v>
      </c>
      <c r="K48" s="8" t="s">
        <v>912</v>
      </c>
      <c r="L48" s="8" t="s">
        <v>69</v>
      </c>
      <c r="M48" s="28">
        <v>20.893862500000001</v>
      </c>
      <c r="N48" s="28">
        <v>-76.253245699999994</v>
      </c>
      <c r="O48" s="15"/>
      <c r="P48" s="15"/>
    </row>
    <row r="49" spans="2:16" ht="30">
      <c r="B49" s="8">
        <v>2794</v>
      </c>
      <c r="C49" s="11">
        <v>24013457</v>
      </c>
      <c r="D49" s="10">
        <v>7.7</v>
      </c>
      <c r="E49" s="13"/>
      <c r="F49" s="8">
        <v>65101304095</v>
      </c>
      <c r="G49" s="12" t="s">
        <v>341</v>
      </c>
      <c r="H49" s="11" t="s">
        <v>1224</v>
      </c>
      <c r="I49" s="11" t="s">
        <v>1224</v>
      </c>
      <c r="J49" s="12" t="s">
        <v>1685</v>
      </c>
      <c r="K49" s="8" t="s">
        <v>912</v>
      </c>
      <c r="L49" s="8" t="s">
        <v>69</v>
      </c>
      <c r="M49" s="28">
        <v>20.887875000000001</v>
      </c>
      <c r="N49" s="28">
        <v>-76.266542999999999</v>
      </c>
      <c r="O49" s="15"/>
      <c r="P49" s="15"/>
    </row>
    <row r="50" spans="2:16" ht="30">
      <c r="B50" s="8">
        <v>2794</v>
      </c>
      <c r="C50" s="11">
        <v>24013458</v>
      </c>
      <c r="D50" s="10">
        <v>10</v>
      </c>
      <c r="E50" s="13">
        <v>295</v>
      </c>
      <c r="F50" s="8">
        <v>44060406133</v>
      </c>
      <c r="G50" s="12" t="s">
        <v>344</v>
      </c>
      <c r="H50" s="11" t="s">
        <v>1225</v>
      </c>
      <c r="I50" s="11" t="s">
        <v>1225</v>
      </c>
      <c r="J50" s="12" t="s">
        <v>950</v>
      </c>
      <c r="K50" s="8" t="s">
        <v>912</v>
      </c>
      <c r="L50" s="8" t="s">
        <v>69</v>
      </c>
      <c r="M50" s="28">
        <v>20.893442</v>
      </c>
      <c r="N50" s="28">
        <v>-76.259219000000002</v>
      </c>
      <c r="O50" s="15"/>
      <c r="P50" s="15"/>
    </row>
    <row r="51" spans="2:16" ht="30">
      <c r="B51" s="8">
        <v>2794</v>
      </c>
      <c r="C51" s="11">
        <v>24013549</v>
      </c>
      <c r="D51" s="10">
        <v>17.3</v>
      </c>
      <c r="E51" s="13">
        <v>1350.9</v>
      </c>
      <c r="F51" s="8">
        <v>95112744375</v>
      </c>
      <c r="G51" s="12" t="s">
        <v>511</v>
      </c>
      <c r="H51" s="11" t="s">
        <v>1287</v>
      </c>
      <c r="I51" s="11" t="s">
        <v>1287</v>
      </c>
      <c r="J51" s="12" t="s">
        <v>1686</v>
      </c>
      <c r="K51" s="8" t="s">
        <v>912</v>
      </c>
      <c r="L51" s="8" t="s">
        <v>69</v>
      </c>
      <c r="M51" s="28">
        <v>20.882719999999999</v>
      </c>
      <c r="N51" s="28">
        <v>-76.241245000000006</v>
      </c>
      <c r="O51" s="15"/>
      <c r="P51" s="15"/>
    </row>
    <row r="52" spans="2:16" ht="30">
      <c r="B52" s="8">
        <v>2794</v>
      </c>
      <c r="C52" s="11">
        <v>24013550</v>
      </c>
      <c r="D52" s="10">
        <v>24.5</v>
      </c>
      <c r="E52" s="13">
        <v>2008.2</v>
      </c>
      <c r="F52" s="8">
        <v>95112744375</v>
      </c>
      <c r="G52" s="12" t="s">
        <v>511</v>
      </c>
      <c r="H52" s="11" t="s">
        <v>1287</v>
      </c>
      <c r="I52" s="11" t="s">
        <v>1287</v>
      </c>
      <c r="J52" s="12" t="s">
        <v>1686</v>
      </c>
      <c r="K52" s="8" t="s">
        <v>912</v>
      </c>
      <c r="L52" s="8" t="s">
        <v>69</v>
      </c>
      <c r="M52" s="28">
        <v>20.882719999999999</v>
      </c>
      <c r="N52" s="28">
        <v>-76.241245000000006</v>
      </c>
      <c r="O52" s="15"/>
      <c r="P52" s="15"/>
    </row>
    <row r="53" spans="2:16" ht="30">
      <c r="B53" s="8">
        <v>2794</v>
      </c>
      <c r="C53" s="11">
        <v>24013551</v>
      </c>
      <c r="D53" s="10">
        <v>15</v>
      </c>
      <c r="E53" s="13">
        <v>1199.7</v>
      </c>
      <c r="F53" s="8">
        <v>93011921860</v>
      </c>
      <c r="G53" s="12" t="s">
        <v>515</v>
      </c>
      <c r="H53" s="11" t="s">
        <v>1288</v>
      </c>
      <c r="I53" s="11" t="s">
        <v>1288</v>
      </c>
      <c r="J53" s="12" t="s">
        <v>1686</v>
      </c>
      <c r="K53" s="8" t="s">
        <v>912</v>
      </c>
      <c r="L53" s="8" t="s">
        <v>69</v>
      </c>
      <c r="M53" s="28">
        <v>20.882719999999999</v>
      </c>
      <c r="N53" s="28">
        <v>-76.241245000000006</v>
      </c>
      <c r="O53" s="15"/>
      <c r="P53" s="15"/>
    </row>
    <row r="54" spans="2:16" ht="15">
      <c r="B54" s="8">
        <v>2794</v>
      </c>
      <c r="C54" s="11">
        <v>24013508</v>
      </c>
      <c r="D54" s="10">
        <v>23.2</v>
      </c>
      <c r="E54" s="13">
        <v>1857</v>
      </c>
      <c r="F54" s="8">
        <v>88121728335</v>
      </c>
      <c r="G54" s="12" t="s">
        <v>441</v>
      </c>
      <c r="H54" s="11" t="s">
        <v>1263</v>
      </c>
      <c r="I54" s="11" t="s">
        <v>1263</v>
      </c>
      <c r="J54" s="12" t="s">
        <v>955</v>
      </c>
      <c r="K54" s="8" t="s">
        <v>918</v>
      </c>
      <c r="L54" s="8" t="s">
        <v>69</v>
      </c>
      <c r="M54" s="28">
        <v>20.6560703</v>
      </c>
      <c r="N54" s="28">
        <v>-75.680064900000005</v>
      </c>
      <c r="O54" s="15"/>
      <c r="P54" s="15"/>
    </row>
    <row r="55" spans="2:16" ht="30">
      <c r="B55" s="8">
        <v>2794</v>
      </c>
      <c r="C55" s="11">
        <v>24013440</v>
      </c>
      <c r="D55" s="10">
        <v>20</v>
      </c>
      <c r="E55" s="13">
        <v>1577.7</v>
      </c>
      <c r="F55" s="8">
        <v>71071122799</v>
      </c>
      <c r="G55" s="12" t="s">
        <v>309</v>
      </c>
      <c r="H55" s="11" t="s">
        <v>1214</v>
      </c>
      <c r="I55" s="11" t="s">
        <v>1214</v>
      </c>
      <c r="J55" s="12" t="s">
        <v>947</v>
      </c>
      <c r="K55" s="8" t="s">
        <v>923</v>
      </c>
      <c r="L55" s="8" t="s">
        <v>932</v>
      </c>
      <c r="M55" s="28">
        <v>20.954537999999999</v>
      </c>
      <c r="N55" s="28">
        <v>-76.954515999999998</v>
      </c>
      <c r="O55" s="15"/>
      <c r="P55" s="15"/>
    </row>
    <row r="56" spans="2:16" ht="30">
      <c r="B56" s="8">
        <v>2794</v>
      </c>
      <c r="C56" s="11">
        <v>24013441</v>
      </c>
      <c r="D56" s="10">
        <v>12.8</v>
      </c>
      <c r="E56" s="13">
        <v>1048.5</v>
      </c>
      <c r="F56" s="8">
        <v>71071122799</v>
      </c>
      <c r="G56" s="12" t="s">
        <v>309</v>
      </c>
      <c r="H56" s="11" t="s">
        <v>1214</v>
      </c>
      <c r="I56" s="11" t="s">
        <v>1214</v>
      </c>
      <c r="J56" s="12" t="s">
        <v>947</v>
      </c>
      <c r="K56" s="8" t="s">
        <v>923</v>
      </c>
      <c r="L56" s="8" t="s">
        <v>932</v>
      </c>
      <c r="M56" s="28">
        <v>20.954537999999999</v>
      </c>
      <c r="N56" s="28">
        <v>-76.954515999999998</v>
      </c>
      <c r="O56" s="15"/>
      <c r="P56" s="15"/>
    </row>
    <row r="57" spans="2:16" ht="15">
      <c r="B57" s="8">
        <v>2794</v>
      </c>
      <c r="C57" s="11">
        <v>24013560</v>
      </c>
      <c r="D57" s="10">
        <v>22.8</v>
      </c>
      <c r="E57" s="13">
        <v>1857</v>
      </c>
      <c r="F57" s="8">
        <v>55021101947</v>
      </c>
      <c r="G57" s="12" t="s">
        <v>528</v>
      </c>
      <c r="H57" s="11" t="s">
        <v>1292</v>
      </c>
      <c r="I57" s="11" t="s">
        <v>1292</v>
      </c>
      <c r="J57" s="12" t="s">
        <v>965</v>
      </c>
      <c r="K57" s="8" t="s">
        <v>964</v>
      </c>
      <c r="L57" s="8" t="s">
        <v>530</v>
      </c>
      <c r="M57" s="28">
        <v>22.835650000000001</v>
      </c>
      <c r="N57" s="28">
        <v>-82.030754000000002</v>
      </c>
      <c r="O57" s="15"/>
      <c r="P57" s="15"/>
    </row>
    <row r="58" spans="2:16" ht="15">
      <c r="B58" s="8">
        <v>2794</v>
      </c>
      <c r="C58" s="11">
        <v>24013561</v>
      </c>
      <c r="D58" s="10">
        <v>24.3</v>
      </c>
      <c r="E58" s="13">
        <v>1932.6</v>
      </c>
      <c r="F58" s="8">
        <v>55021101947</v>
      </c>
      <c r="G58" s="12" t="s">
        <v>528</v>
      </c>
      <c r="H58" s="11" t="s">
        <v>1292</v>
      </c>
      <c r="I58" s="11" t="s">
        <v>1292</v>
      </c>
      <c r="J58" s="12" t="s">
        <v>965</v>
      </c>
      <c r="K58" s="8" t="s">
        <v>964</v>
      </c>
      <c r="L58" s="8" t="s">
        <v>530</v>
      </c>
      <c r="M58" s="28">
        <v>22.835650000000001</v>
      </c>
      <c r="N58" s="28">
        <v>-82.030754000000002</v>
      </c>
      <c r="O58" s="15"/>
      <c r="P58" s="15"/>
    </row>
    <row r="59" spans="2:16" ht="15">
      <c r="B59" s="8">
        <v>2794</v>
      </c>
      <c r="C59" s="11">
        <v>24013562</v>
      </c>
      <c r="D59" s="10">
        <v>22.1</v>
      </c>
      <c r="E59" s="13">
        <v>1781.4</v>
      </c>
      <c r="F59" s="8">
        <v>88021239408</v>
      </c>
      <c r="G59" s="12" t="s">
        <v>531</v>
      </c>
      <c r="H59" s="11" t="s">
        <v>1293</v>
      </c>
      <c r="I59" s="11" t="s">
        <v>1293</v>
      </c>
      <c r="J59" s="12" t="s">
        <v>965</v>
      </c>
      <c r="K59" s="8" t="s">
        <v>964</v>
      </c>
      <c r="L59" s="8" t="s">
        <v>530</v>
      </c>
      <c r="M59" s="28">
        <v>22.835650000000001</v>
      </c>
      <c r="N59" s="28">
        <v>-82.030754000000002</v>
      </c>
      <c r="O59" s="15"/>
      <c r="P59" s="15"/>
    </row>
    <row r="60" spans="2:16" ht="45">
      <c r="B60" s="8">
        <v>2794</v>
      </c>
      <c r="C60" s="11">
        <v>24013488</v>
      </c>
      <c r="D60" s="10">
        <v>17.600000000000001</v>
      </c>
      <c r="E60" s="13">
        <v>1426.5</v>
      </c>
      <c r="F60" s="8">
        <v>68032608135</v>
      </c>
      <c r="G60" s="12" t="s">
        <v>403</v>
      </c>
      <c r="H60" s="11" t="s">
        <v>1246</v>
      </c>
      <c r="I60" s="11" t="s">
        <v>1246</v>
      </c>
      <c r="J60" s="12" t="s">
        <v>979</v>
      </c>
      <c r="K60" s="8" t="s">
        <v>967</v>
      </c>
      <c r="L60" s="8" t="s">
        <v>202</v>
      </c>
      <c r="M60" s="28">
        <v>22.516389</v>
      </c>
      <c r="N60" s="28">
        <v>-83.414315999999999</v>
      </c>
      <c r="O60" s="15"/>
      <c r="P60" s="15"/>
    </row>
    <row r="61" spans="2:16" ht="45">
      <c r="B61" s="8">
        <v>2794</v>
      </c>
      <c r="C61" s="11">
        <v>24013498</v>
      </c>
      <c r="D61" s="10">
        <v>23.7</v>
      </c>
      <c r="E61" s="13">
        <v>1932.6</v>
      </c>
      <c r="F61" s="8">
        <v>82062000416</v>
      </c>
      <c r="G61" s="12" t="s">
        <v>421</v>
      </c>
      <c r="H61" s="11" t="s">
        <v>1254</v>
      </c>
      <c r="I61" s="11" t="s">
        <v>1254</v>
      </c>
      <c r="J61" s="12" t="s">
        <v>978</v>
      </c>
      <c r="K61" s="8" t="s">
        <v>967</v>
      </c>
      <c r="L61" s="8" t="s">
        <v>202</v>
      </c>
      <c r="M61" s="28">
        <v>22.511353</v>
      </c>
      <c r="N61" s="28">
        <v>-83.412702999999993</v>
      </c>
      <c r="O61" s="15"/>
      <c r="P61" s="15"/>
    </row>
    <row r="62" spans="2:16" ht="45">
      <c r="B62" s="8">
        <v>2794</v>
      </c>
      <c r="C62" s="11">
        <v>24013501</v>
      </c>
      <c r="D62" s="10">
        <v>24.4</v>
      </c>
      <c r="E62" s="13">
        <v>1932.6</v>
      </c>
      <c r="F62" s="11">
        <v>89022816414</v>
      </c>
      <c r="G62" s="12" t="s">
        <v>426</v>
      </c>
      <c r="H62" s="11" t="s">
        <v>1256</v>
      </c>
      <c r="I62" s="11" t="s">
        <v>1256</v>
      </c>
      <c r="J62" s="12" t="s">
        <v>977</v>
      </c>
      <c r="K62" s="8" t="s">
        <v>967</v>
      </c>
      <c r="L62" s="8" t="s">
        <v>202</v>
      </c>
      <c r="M62" s="28">
        <v>22.566068000000001</v>
      </c>
      <c r="N62" s="28">
        <v>-83.442031</v>
      </c>
      <c r="O62" s="15"/>
      <c r="P62" s="15"/>
    </row>
    <row r="63" spans="2:16" ht="45">
      <c r="B63" s="8">
        <v>2794</v>
      </c>
      <c r="C63" s="11">
        <v>24013502</v>
      </c>
      <c r="D63" s="10">
        <v>18.3</v>
      </c>
      <c r="E63" s="13">
        <v>1539.9</v>
      </c>
      <c r="F63" s="11">
        <v>66032208432</v>
      </c>
      <c r="G63" s="12" t="s">
        <v>428</v>
      </c>
      <c r="H63" s="11" t="s">
        <v>1257</v>
      </c>
      <c r="I63" s="11" t="s">
        <v>1257</v>
      </c>
      <c r="J63" s="12" t="s">
        <v>976</v>
      </c>
      <c r="K63" s="8" t="s">
        <v>967</v>
      </c>
      <c r="L63" s="8" t="s">
        <v>202</v>
      </c>
      <c r="M63" s="28">
        <v>22.516123</v>
      </c>
      <c r="N63" s="28">
        <v>-83.421931000000001</v>
      </c>
      <c r="O63" s="15"/>
      <c r="P63" s="15"/>
    </row>
    <row r="64" spans="2:16" ht="30">
      <c r="B64" s="8">
        <v>2794</v>
      </c>
      <c r="C64" s="11">
        <v>24013521</v>
      </c>
      <c r="D64" s="10">
        <v>19.399999999999999</v>
      </c>
      <c r="E64" s="13">
        <v>1502.1</v>
      </c>
      <c r="F64" s="8">
        <v>62111505311</v>
      </c>
      <c r="G64" s="12" t="s">
        <v>465</v>
      </c>
      <c r="H64" s="11" t="s">
        <v>1272</v>
      </c>
      <c r="I64" s="11" t="s">
        <v>1272</v>
      </c>
      <c r="J64" s="12" t="s">
        <v>975</v>
      </c>
      <c r="K64" s="8" t="s">
        <v>969</v>
      </c>
      <c r="L64" s="8" t="s">
        <v>202</v>
      </c>
      <c r="M64" s="28">
        <v>22.176167</v>
      </c>
      <c r="N64" s="28">
        <v>-83.968584000000007</v>
      </c>
      <c r="O64" s="15"/>
      <c r="P64" s="15"/>
    </row>
    <row r="65" spans="2:16" ht="30">
      <c r="B65" s="8">
        <v>2794</v>
      </c>
      <c r="C65" s="11">
        <v>24013540</v>
      </c>
      <c r="D65" s="10">
        <v>12.6</v>
      </c>
      <c r="E65" s="13">
        <v>1502.1</v>
      </c>
      <c r="F65" s="8">
        <v>54041406910</v>
      </c>
      <c r="G65" s="12" t="s">
        <v>495</v>
      </c>
      <c r="H65" s="11" t="s">
        <v>1284</v>
      </c>
      <c r="I65" s="11" t="s">
        <v>1284</v>
      </c>
      <c r="J65" s="12" t="s">
        <v>980</v>
      </c>
      <c r="K65" s="8" t="s">
        <v>970</v>
      </c>
      <c r="L65" s="8" t="s">
        <v>202</v>
      </c>
      <c r="M65" s="28">
        <v>22.670703</v>
      </c>
      <c r="N65" s="28">
        <v>-83.568493000000004</v>
      </c>
      <c r="O65" s="15"/>
      <c r="P65" s="15"/>
    </row>
    <row r="66" spans="2:16" ht="30">
      <c r="B66" s="8">
        <v>2794</v>
      </c>
      <c r="C66" s="11">
        <v>24013541</v>
      </c>
      <c r="D66" s="10">
        <v>11.5</v>
      </c>
      <c r="E66" s="13">
        <v>972.9</v>
      </c>
      <c r="F66" s="8">
        <v>54041406910</v>
      </c>
      <c r="G66" s="12" t="s">
        <v>495</v>
      </c>
      <c r="H66" s="11" t="s">
        <v>1284</v>
      </c>
      <c r="I66" s="11" t="s">
        <v>1284</v>
      </c>
      <c r="J66" s="12" t="s">
        <v>980</v>
      </c>
      <c r="K66" s="8" t="s">
        <v>970</v>
      </c>
      <c r="L66" s="8" t="s">
        <v>202</v>
      </c>
      <c r="M66" s="28">
        <v>22.670703</v>
      </c>
      <c r="N66" s="28">
        <v>-83.568493000000004</v>
      </c>
      <c r="O66" s="15"/>
      <c r="P66" s="15"/>
    </row>
    <row r="67" spans="2:16" ht="30">
      <c r="B67" s="8">
        <v>2794</v>
      </c>
      <c r="C67" s="11">
        <v>24013542</v>
      </c>
      <c r="D67" s="10">
        <v>6.4</v>
      </c>
      <c r="E67" s="13">
        <v>519.29999999999995</v>
      </c>
      <c r="F67" s="8">
        <v>54041406910</v>
      </c>
      <c r="G67" s="12" t="s">
        <v>495</v>
      </c>
      <c r="H67" s="11" t="s">
        <v>1284</v>
      </c>
      <c r="I67" s="11" t="s">
        <v>1284</v>
      </c>
      <c r="J67" s="12" t="s">
        <v>980</v>
      </c>
      <c r="K67" s="8" t="s">
        <v>970</v>
      </c>
      <c r="L67" s="8" t="s">
        <v>202</v>
      </c>
      <c r="M67" s="28">
        <v>22.670703</v>
      </c>
      <c r="N67" s="28">
        <v>-83.568493000000004</v>
      </c>
      <c r="O67" s="15"/>
      <c r="P67" s="15"/>
    </row>
    <row r="68" spans="2:16" ht="30">
      <c r="B68" s="8">
        <v>2794</v>
      </c>
      <c r="C68" s="11">
        <v>24013543</v>
      </c>
      <c r="D68" s="10">
        <v>7.2</v>
      </c>
      <c r="E68" s="13">
        <v>594.9</v>
      </c>
      <c r="F68" s="8">
        <v>54041406910</v>
      </c>
      <c r="G68" s="12" t="s">
        <v>495</v>
      </c>
      <c r="H68" s="11" t="s">
        <v>1284</v>
      </c>
      <c r="I68" s="11" t="s">
        <v>1284</v>
      </c>
      <c r="J68" s="12" t="s">
        <v>980</v>
      </c>
      <c r="K68" s="8" t="s">
        <v>970</v>
      </c>
      <c r="L68" s="8" t="s">
        <v>202</v>
      </c>
      <c r="M68" s="28">
        <v>22.670703</v>
      </c>
      <c r="N68" s="28">
        <v>-83.568493000000004</v>
      </c>
      <c r="O68" s="15"/>
      <c r="P68" s="15"/>
    </row>
    <row r="69" spans="2:16" ht="45">
      <c r="B69" s="8">
        <v>2794</v>
      </c>
      <c r="C69" s="11">
        <v>24013497</v>
      </c>
      <c r="D69" s="10">
        <v>22</v>
      </c>
      <c r="E69" s="13">
        <v>1781.4</v>
      </c>
      <c r="F69" s="8">
        <v>69020608495</v>
      </c>
      <c r="G69" s="12" t="s">
        <v>418</v>
      </c>
      <c r="H69" s="11" t="s">
        <v>1253</v>
      </c>
      <c r="I69" s="11" t="s">
        <v>1253</v>
      </c>
      <c r="J69" s="12" t="s">
        <v>981</v>
      </c>
      <c r="K69" s="8" t="s">
        <v>968</v>
      </c>
      <c r="L69" s="8" t="s">
        <v>202</v>
      </c>
      <c r="M69" s="28">
        <v>22.451699000000001</v>
      </c>
      <c r="N69" s="28">
        <v>-83.904520000000005</v>
      </c>
      <c r="O69" s="15"/>
      <c r="P69" s="15"/>
    </row>
    <row r="70" spans="2:16" ht="30">
      <c r="B70" s="8">
        <v>2794</v>
      </c>
      <c r="C70" s="11">
        <v>24013428</v>
      </c>
      <c r="D70" s="10">
        <v>25.1</v>
      </c>
      <c r="E70" s="13">
        <v>2083.8000000000002</v>
      </c>
      <c r="F70" s="8">
        <v>99122702494</v>
      </c>
      <c r="G70" s="12" t="s">
        <v>285</v>
      </c>
      <c r="H70" s="11" t="s">
        <v>1207</v>
      </c>
      <c r="I70" s="11" t="s">
        <v>1208</v>
      </c>
      <c r="J70" s="12" t="s">
        <v>991</v>
      </c>
      <c r="K70" s="8" t="s">
        <v>966</v>
      </c>
      <c r="L70" s="8" t="s">
        <v>202</v>
      </c>
      <c r="M70" s="28">
        <v>22.437584000000001</v>
      </c>
      <c r="N70" s="28">
        <v>-83.690079999999995</v>
      </c>
      <c r="O70" s="15"/>
      <c r="P70" s="15"/>
    </row>
    <row r="71" spans="2:16" ht="30">
      <c r="B71" s="8">
        <v>2794</v>
      </c>
      <c r="C71" s="11">
        <v>24013429</v>
      </c>
      <c r="D71" s="10">
        <v>7.2</v>
      </c>
      <c r="E71" s="13">
        <v>295</v>
      </c>
      <c r="F71" s="8">
        <v>99122702494</v>
      </c>
      <c r="G71" s="12" t="s">
        <v>285</v>
      </c>
      <c r="H71" s="11" t="s">
        <v>1207</v>
      </c>
      <c r="I71" s="11" t="s">
        <v>1208</v>
      </c>
      <c r="J71" s="12" t="s">
        <v>991</v>
      </c>
      <c r="K71" s="8" t="s">
        <v>966</v>
      </c>
      <c r="L71" s="8" t="s">
        <v>202</v>
      </c>
      <c r="M71" s="28">
        <v>22.437584000000001</v>
      </c>
      <c r="N71" s="28">
        <v>-83.690079999999995</v>
      </c>
      <c r="O71" s="15"/>
      <c r="P71" s="15"/>
    </row>
    <row r="72" spans="2:16" ht="30">
      <c r="B72" s="8">
        <v>2794</v>
      </c>
      <c r="C72" s="11">
        <v>24013433</v>
      </c>
      <c r="D72" s="10">
        <v>5.6</v>
      </c>
      <c r="E72" s="13">
        <v>295</v>
      </c>
      <c r="F72" s="8">
        <v>59102304892</v>
      </c>
      <c r="G72" s="12" t="s">
        <v>294</v>
      </c>
      <c r="H72" s="11" t="s">
        <v>1210</v>
      </c>
      <c r="I72" s="11" t="s">
        <v>1210</v>
      </c>
      <c r="J72" s="12" t="s">
        <v>985</v>
      </c>
      <c r="K72" s="8" t="s">
        <v>966</v>
      </c>
      <c r="L72" s="8" t="s">
        <v>202</v>
      </c>
      <c r="M72" s="28">
        <v>22.402766</v>
      </c>
      <c r="N72" s="28">
        <v>-83.685907999999998</v>
      </c>
      <c r="O72" s="15"/>
      <c r="P72" s="15"/>
    </row>
    <row r="73" spans="2:16" ht="30">
      <c r="B73" s="8">
        <v>2794</v>
      </c>
      <c r="C73" s="11">
        <v>24013434</v>
      </c>
      <c r="D73" s="10">
        <v>19.8</v>
      </c>
      <c r="E73" s="13">
        <v>1577.7</v>
      </c>
      <c r="F73" s="8">
        <v>59102304893</v>
      </c>
      <c r="G73" s="12" t="s">
        <v>294</v>
      </c>
      <c r="H73" s="11" t="s">
        <v>1210</v>
      </c>
      <c r="I73" s="11" t="s">
        <v>1210</v>
      </c>
      <c r="J73" s="12" t="s">
        <v>985</v>
      </c>
      <c r="K73" s="8" t="s">
        <v>966</v>
      </c>
      <c r="L73" s="8" t="s">
        <v>202</v>
      </c>
      <c r="M73" s="28">
        <v>22.402766</v>
      </c>
      <c r="N73" s="28">
        <v>-83.685907999999998</v>
      </c>
      <c r="O73" s="15"/>
      <c r="P73" s="15"/>
    </row>
    <row r="74" spans="2:16" ht="30">
      <c r="B74" s="8">
        <v>2794</v>
      </c>
      <c r="C74" s="11">
        <v>24013435</v>
      </c>
      <c r="D74" s="10">
        <v>19.8</v>
      </c>
      <c r="E74" s="13">
        <v>1577.7</v>
      </c>
      <c r="F74" s="8">
        <v>59102304894</v>
      </c>
      <c r="G74" s="12" t="s">
        <v>294</v>
      </c>
      <c r="H74" s="11" t="s">
        <v>1210</v>
      </c>
      <c r="I74" s="11" t="s">
        <v>1210</v>
      </c>
      <c r="J74" s="12" t="s">
        <v>985</v>
      </c>
      <c r="K74" s="8" t="s">
        <v>966</v>
      </c>
      <c r="L74" s="8" t="s">
        <v>202</v>
      </c>
      <c r="M74" s="28">
        <v>22.402766</v>
      </c>
      <c r="N74" s="28">
        <v>-83.685907999999998</v>
      </c>
      <c r="O74" s="15"/>
      <c r="P74" s="15"/>
    </row>
    <row r="75" spans="2:16" ht="30">
      <c r="B75" s="8">
        <v>2794</v>
      </c>
      <c r="C75" s="11">
        <v>24013438</v>
      </c>
      <c r="D75" s="10">
        <v>16.2</v>
      </c>
      <c r="E75" s="13">
        <v>1275.3</v>
      </c>
      <c r="F75" s="8">
        <v>66072705610</v>
      </c>
      <c r="G75" s="12" t="s">
        <v>305</v>
      </c>
      <c r="H75" s="11" t="s">
        <v>1213</v>
      </c>
      <c r="I75" s="11" t="s">
        <v>1213</v>
      </c>
      <c r="J75" s="12" t="s">
        <v>986</v>
      </c>
      <c r="K75" s="8" t="s">
        <v>966</v>
      </c>
      <c r="L75" s="8" t="s">
        <v>202</v>
      </c>
      <c r="M75" s="28">
        <v>22.412486999999999</v>
      </c>
      <c r="N75" s="28">
        <v>-83.704600999999997</v>
      </c>
      <c r="O75" s="15"/>
      <c r="P75" s="15"/>
    </row>
    <row r="76" spans="2:16" ht="30">
      <c r="B76" s="8">
        <v>2794</v>
      </c>
      <c r="C76" s="11">
        <v>24013439</v>
      </c>
      <c r="D76" s="10">
        <v>12.6</v>
      </c>
      <c r="E76" s="13">
        <v>1048.5</v>
      </c>
      <c r="F76" s="8">
        <v>66072705610</v>
      </c>
      <c r="G76" s="12" t="s">
        <v>305</v>
      </c>
      <c r="H76" s="11" t="s">
        <v>1213</v>
      </c>
      <c r="I76" s="11" t="s">
        <v>1213</v>
      </c>
      <c r="J76" s="12" t="s">
        <v>986</v>
      </c>
      <c r="K76" s="8" t="s">
        <v>966</v>
      </c>
      <c r="L76" s="8" t="s">
        <v>202</v>
      </c>
      <c r="M76" s="28">
        <v>22.412486999999999</v>
      </c>
      <c r="N76" s="28">
        <v>-83.704600999999997</v>
      </c>
      <c r="O76" s="15"/>
      <c r="P76" s="15"/>
    </row>
    <row r="77" spans="2:16" ht="30">
      <c r="B77" s="8">
        <v>2794</v>
      </c>
      <c r="C77" s="11">
        <v>24013445</v>
      </c>
      <c r="D77" s="10">
        <v>11.3</v>
      </c>
      <c r="E77" s="13">
        <v>897.3</v>
      </c>
      <c r="F77" s="8">
        <v>58071404481</v>
      </c>
      <c r="G77" s="12" t="s">
        <v>322</v>
      </c>
      <c r="H77" s="11" t="s">
        <v>1218</v>
      </c>
      <c r="I77" s="11" t="s">
        <v>1218</v>
      </c>
      <c r="J77" s="12" t="s">
        <v>989</v>
      </c>
      <c r="K77" s="8" t="s">
        <v>966</v>
      </c>
      <c r="L77" s="8" t="s">
        <v>202</v>
      </c>
      <c r="M77" s="28">
        <v>22.425806999999999</v>
      </c>
      <c r="N77" s="28">
        <v>-83.680198000000004</v>
      </c>
      <c r="O77" s="15"/>
      <c r="P77" s="15"/>
    </row>
    <row r="78" spans="2:16" ht="30">
      <c r="B78" s="8">
        <v>2794</v>
      </c>
      <c r="C78" s="11">
        <v>24013446</v>
      </c>
      <c r="D78" s="10">
        <v>20.3</v>
      </c>
      <c r="E78" s="13">
        <v>1577.7</v>
      </c>
      <c r="F78" s="8">
        <v>58071404481</v>
      </c>
      <c r="G78" s="12" t="s">
        <v>322</v>
      </c>
      <c r="H78" s="11" t="s">
        <v>1218</v>
      </c>
      <c r="I78" s="11" t="s">
        <v>1218</v>
      </c>
      <c r="J78" s="12" t="s">
        <v>989</v>
      </c>
      <c r="K78" s="8" t="s">
        <v>966</v>
      </c>
      <c r="L78" s="8" t="s">
        <v>202</v>
      </c>
      <c r="M78" s="28">
        <v>22.425806999999999</v>
      </c>
      <c r="N78" s="28">
        <v>-83.680198000000004</v>
      </c>
      <c r="O78" s="15"/>
      <c r="P78" s="15"/>
    </row>
    <row r="79" spans="2:16" ht="30">
      <c r="B79" s="8">
        <v>2794</v>
      </c>
      <c r="C79" s="11">
        <v>24013493</v>
      </c>
      <c r="D79" s="10">
        <v>11.1</v>
      </c>
      <c r="E79" s="13">
        <v>897.3</v>
      </c>
      <c r="F79" s="8">
        <v>65030600401</v>
      </c>
      <c r="G79" s="12" t="s">
        <v>414</v>
      </c>
      <c r="H79" s="11" t="s">
        <v>1252</v>
      </c>
      <c r="I79" s="11" t="s">
        <v>1252</v>
      </c>
      <c r="J79" s="12" t="s">
        <v>993</v>
      </c>
      <c r="K79" s="8" t="s">
        <v>966</v>
      </c>
      <c r="L79" s="8" t="s">
        <v>202</v>
      </c>
      <c r="M79" s="28">
        <v>22.428183600000001</v>
      </c>
      <c r="N79" s="28">
        <v>-83.674261999999999</v>
      </c>
      <c r="O79" s="15"/>
      <c r="P79" s="15"/>
    </row>
    <row r="80" spans="2:16" ht="30">
      <c r="B80" s="8">
        <v>2794</v>
      </c>
      <c r="C80" s="11">
        <v>24013494</v>
      </c>
      <c r="D80" s="10">
        <v>8.6999999999999993</v>
      </c>
      <c r="E80" s="13">
        <v>746.1</v>
      </c>
      <c r="F80" s="8">
        <v>65030600401</v>
      </c>
      <c r="G80" s="12" t="s">
        <v>414</v>
      </c>
      <c r="H80" s="11" t="s">
        <v>1252</v>
      </c>
      <c r="I80" s="11" t="s">
        <v>1252</v>
      </c>
      <c r="J80" s="12" t="s">
        <v>993</v>
      </c>
      <c r="K80" s="8" t="s">
        <v>966</v>
      </c>
      <c r="L80" s="8" t="s">
        <v>202</v>
      </c>
      <c r="M80" s="28">
        <v>22.428183600000001</v>
      </c>
      <c r="N80" s="28">
        <v>-83.674261999999999</v>
      </c>
      <c r="O80" s="15"/>
      <c r="P80" s="15"/>
    </row>
    <row r="81" spans="2:16" ht="30">
      <c r="B81" s="8">
        <v>2794</v>
      </c>
      <c r="C81" s="11">
        <v>24013495</v>
      </c>
      <c r="D81" s="10">
        <v>11.7</v>
      </c>
      <c r="E81" s="13">
        <v>972.9</v>
      </c>
      <c r="F81" s="8">
        <v>58071404481</v>
      </c>
      <c r="G81" s="12" t="s">
        <v>322</v>
      </c>
      <c r="H81" s="11" t="s">
        <v>1218</v>
      </c>
      <c r="I81" s="11" t="s">
        <v>1218</v>
      </c>
      <c r="J81" s="12" t="s">
        <v>989</v>
      </c>
      <c r="K81" s="8" t="s">
        <v>966</v>
      </c>
      <c r="L81" s="8" t="s">
        <v>202</v>
      </c>
      <c r="M81" s="28">
        <v>22.425806999999999</v>
      </c>
      <c r="N81" s="28">
        <v>-83.680198000000004</v>
      </c>
      <c r="O81" s="15"/>
      <c r="P81" s="15"/>
    </row>
    <row r="82" spans="2:16" ht="30">
      <c r="B82" s="8">
        <v>2794</v>
      </c>
      <c r="C82" s="11">
        <v>24013496</v>
      </c>
      <c r="D82" s="10">
        <v>16.5</v>
      </c>
      <c r="E82" s="13">
        <v>1350.9</v>
      </c>
      <c r="F82" s="8">
        <v>58071404481</v>
      </c>
      <c r="G82" s="12" t="s">
        <v>322</v>
      </c>
      <c r="H82" s="11" t="s">
        <v>1218</v>
      </c>
      <c r="I82" s="11" t="s">
        <v>1218</v>
      </c>
      <c r="J82" s="12" t="s">
        <v>989</v>
      </c>
      <c r="K82" s="8" t="s">
        <v>966</v>
      </c>
      <c r="L82" s="8" t="s">
        <v>202</v>
      </c>
      <c r="M82" s="28">
        <v>22.425806999999999</v>
      </c>
      <c r="N82" s="28">
        <v>-83.680198000000004</v>
      </c>
      <c r="O82" s="15"/>
      <c r="P82" s="15"/>
    </row>
    <row r="83" spans="2:16" ht="30">
      <c r="B83" s="8">
        <v>2794</v>
      </c>
      <c r="C83" s="11">
        <v>24013499</v>
      </c>
      <c r="D83" s="10">
        <v>21.4</v>
      </c>
      <c r="E83" s="13">
        <v>1705.8</v>
      </c>
      <c r="F83" s="8">
        <v>98112102423</v>
      </c>
      <c r="G83" s="12" t="s">
        <v>424</v>
      </c>
      <c r="H83" s="11" t="s">
        <v>1255</v>
      </c>
      <c r="I83" s="11" t="s">
        <v>1255</v>
      </c>
      <c r="J83" s="12" t="s">
        <v>987</v>
      </c>
      <c r="K83" s="8" t="s">
        <v>966</v>
      </c>
      <c r="L83" s="8" t="s">
        <v>202</v>
      </c>
      <c r="M83" s="28">
        <v>22.413544000000002</v>
      </c>
      <c r="N83" s="28">
        <v>-83.707365999999993</v>
      </c>
      <c r="O83" s="15"/>
      <c r="P83" s="15"/>
    </row>
    <row r="84" spans="2:16" ht="30">
      <c r="B84" s="8">
        <v>2794</v>
      </c>
      <c r="C84" s="11">
        <v>24013500</v>
      </c>
      <c r="D84" s="10">
        <v>24.1</v>
      </c>
      <c r="E84" s="13">
        <v>1705.8</v>
      </c>
      <c r="F84" s="8">
        <v>98112102423</v>
      </c>
      <c r="G84" s="12" t="s">
        <v>424</v>
      </c>
      <c r="H84" s="11" t="s">
        <v>1255</v>
      </c>
      <c r="I84" s="11" t="s">
        <v>1255</v>
      </c>
      <c r="J84" s="12" t="s">
        <v>987</v>
      </c>
      <c r="K84" s="8" t="s">
        <v>966</v>
      </c>
      <c r="L84" s="8" t="s">
        <v>202</v>
      </c>
      <c r="M84" s="28">
        <v>22.413544000000002</v>
      </c>
      <c r="N84" s="28">
        <v>-83.707365999999993</v>
      </c>
      <c r="O84" s="15"/>
      <c r="P84" s="15"/>
    </row>
    <row r="85" spans="2:16" ht="30">
      <c r="B85" s="8">
        <v>2794</v>
      </c>
      <c r="C85" s="11">
        <v>24013503</v>
      </c>
      <c r="D85" s="10">
        <v>23.5</v>
      </c>
      <c r="E85" s="13">
        <v>368.1</v>
      </c>
      <c r="F85" s="8">
        <v>95112623480</v>
      </c>
      <c r="G85" s="12" t="s">
        <v>430</v>
      </c>
      <c r="H85" s="11" t="s">
        <v>1258</v>
      </c>
      <c r="I85" s="11" t="s">
        <v>1258</v>
      </c>
      <c r="J85" s="12" t="s">
        <v>987</v>
      </c>
      <c r="K85" s="8" t="s">
        <v>966</v>
      </c>
      <c r="L85" s="8" t="s">
        <v>202</v>
      </c>
      <c r="M85" s="28">
        <v>22.413544000000002</v>
      </c>
      <c r="N85" s="28">
        <v>-83.707365999999993</v>
      </c>
      <c r="O85" s="15"/>
      <c r="P85" s="15"/>
    </row>
    <row r="86" spans="2:16" ht="30">
      <c r="B86" s="8">
        <v>2794</v>
      </c>
      <c r="C86" s="11">
        <v>24013506</v>
      </c>
      <c r="D86" s="10">
        <v>18.600000000000001</v>
      </c>
      <c r="E86" s="13">
        <v>1502.1</v>
      </c>
      <c r="F86" s="8">
        <v>71112104955</v>
      </c>
      <c r="G86" s="12" t="s">
        <v>437</v>
      </c>
      <c r="H86" s="11" t="s">
        <v>1261</v>
      </c>
      <c r="I86" s="11" t="s">
        <v>1261</v>
      </c>
      <c r="J86" s="12" t="s">
        <v>992</v>
      </c>
      <c r="K86" s="8" t="s">
        <v>966</v>
      </c>
      <c r="L86" s="8" t="s">
        <v>202</v>
      </c>
      <c r="M86" s="28">
        <v>22.414960000000001</v>
      </c>
      <c r="N86" s="28">
        <v>-83.678122999999999</v>
      </c>
      <c r="O86" s="15"/>
      <c r="P86" s="15"/>
    </row>
    <row r="87" spans="2:16" ht="30">
      <c r="B87" s="8">
        <v>2794</v>
      </c>
      <c r="C87" s="11">
        <v>24013534</v>
      </c>
      <c r="D87" s="10">
        <v>24.7</v>
      </c>
      <c r="E87" s="13">
        <v>2008.2</v>
      </c>
      <c r="F87" s="8">
        <v>63082130098</v>
      </c>
      <c r="G87" s="12" t="s">
        <v>485</v>
      </c>
      <c r="H87" s="11" t="s">
        <v>1281</v>
      </c>
      <c r="I87" s="11" t="s">
        <v>1281</v>
      </c>
      <c r="J87" s="12" t="s">
        <v>990</v>
      </c>
      <c r="K87" s="8" t="s">
        <v>966</v>
      </c>
      <c r="L87" s="8" t="s">
        <v>202</v>
      </c>
      <c r="M87" s="28">
        <v>22.417408600000002</v>
      </c>
      <c r="N87" s="28">
        <v>-83.695306500000001</v>
      </c>
      <c r="O87" s="15"/>
      <c r="P87" s="15"/>
    </row>
    <row r="88" spans="2:16" ht="30">
      <c r="B88" s="8">
        <v>2794</v>
      </c>
      <c r="C88" s="11">
        <v>24013535</v>
      </c>
      <c r="D88" s="10">
        <v>24.8</v>
      </c>
      <c r="E88" s="13">
        <v>2008.2</v>
      </c>
      <c r="F88" s="8">
        <v>63082130098</v>
      </c>
      <c r="G88" s="12" t="s">
        <v>485</v>
      </c>
      <c r="H88" s="11" t="s">
        <v>1281</v>
      </c>
      <c r="I88" s="11" t="s">
        <v>1281</v>
      </c>
      <c r="J88" s="12" t="s">
        <v>990</v>
      </c>
      <c r="K88" s="8" t="s">
        <v>966</v>
      </c>
      <c r="L88" s="8" t="s">
        <v>202</v>
      </c>
      <c r="M88" s="28">
        <v>22.417408600000002</v>
      </c>
      <c r="N88" s="28">
        <v>-83.695306500000001</v>
      </c>
      <c r="O88" s="15"/>
      <c r="P88" s="15"/>
    </row>
    <row r="89" spans="2:16" ht="30">
      <c r="B89" s="8">
        <v>2794</v>
      </c>
      <c r="C89" s="11">
        <v>24013536</v>
      </c>
      <c r="D89" s="10">
        <v>24.7</v>
      </c>
      <c r="E89" s="13">
        <v>2008.2</v>
      </c>
      <c r="F89" s="8">
        <v>56010907559</v>
      </c>
      <c r="G89" s="12" t="s">
        <v>488</v>
      </c>
      <c r="H89" s="11" t="s">
        <v>1281</v>
      </c>
      <c r="I89" s="11" t="s">
        <v>1281</v>
      </c>
      <c r="J89" s="12" t="s">
        <v>990</v>
      </c>
      <c r="K89" s="8" t="s">
        <v>966</v>
      </c>
      <c r="L89" s="8" t="s">
        <v>202</v>
      </c>
      <c r="M89" s="28">
        <v>22.417408600000002</v>
      </c>
      <c r="N89" s="28">
        <v>-83.695306500000001</v>
      </c>
      <c r="O89" s="15"/>
      <c r="P89" s="15"/>
    </row>
    <row r="90" spans="2:16" ht="30">
      <c r="B90" s="8">
        <v>2794</v>
      </c>
      <c r="C90" s="11">
        <v>24013537</v>
      </c>
      <c r="D90" s="10">
        <v>23.1</v>
      </c>
      <c r="E90" s="13">
        <v>1857</v>
      </c>
      <c r="F90" s="8">
        <v>56010907559</v>
      </c>
      <c r="G90" s="12" t="s">
        <v>488</v>
      </c>
      <c r="H90" s="11" t="s">
        <v>1281</v>
      </c>
      <c r="I90" s="11" t="s">
        <v>1281</v>
      </c>
      <c r="J90" s="12" t="s">
        <v>990</v>
      </c>
      <c r="K90" s="8" t="s">
        <v>966</v>
      </c>
      <c r="L90" s="8" t="s">
        <v>202</v>
      </c>
      <c r="M90" s="28">
        <v>22.417408600000002</v>
      </c>
      <c r="N90" s="28">
        <v>-83.695306500000001</v>
      </c>
      <c r="O90" s="15"/>
      <c r="P90" s="15"/>
    </row>
    <row r="91" spans="2:16" ht="30">
      <c r="B91" s="8">
        <v>2794</v>
      </c>
      <c r="C91" s="11">
        <v>24013538</v>
      </c>
      <c r="D91" s="10">
        <v>14.9</v>
      </c>
      <c r="E91" s="13">
        <v>1199.7</v>
      </c>
      <c r="F91" s="8">
        <v>62010404971</v>
      </c>
      <c r="G91" s="12" t="s">
        <v>490</v>
      </c>
      <c r="H91" s="11" t="s">
        <v>1282</v>
      </c>
      <c r="I91" s="11" t="s">
        <v>1282</v>
      </c>
      <c r="J91" s="12" t="s">
        <v>990</v>
      </c>
      <c r="K91" s="8" t="s">
        <v>966</v>
      </c>
      <c r="L91" s="8" t="s">
        <v>202</v>
      </c>
      <c r="M91" s="28">
        <v>22.417408600000002</v>
      </c>
      <c r="N91" s="28">
        <v>-83.695306500000001</v>
      </c>
      <c r="O91" s="15"/>
      <c r="P91" s="15"/>
    </row>
    <row r="92" spans="2:16" ht="30">
      <c r="B92" s="8">
        <v>2794</v>
      </c>
      <c r="C92" s="11">
        <v>24013462</v>
      </c>
      <c r="D92" s="10">
        <v>24</v>
      </c>
      <c r="E92" s="13">
        <v>2008.2</v>
      </c>
      <c r="F92" s="8">
        <v>69062118583</v>
      </c>
      <c r="G92" s="12" t="s">
        <v>353</v>
      </c>
      <c r="H92" s="11" t="s">
        <v>1229</v>
      </c>
      <c r="I92" s="11" t="s">
        <v>1229</v>
      </c>
      <c r="J92" s="12" t="s">
        <v>1021</v>
      </c>
      <c r="K92" s="8" t="s">
        <v>996</v>
      </c>
      <c r="L92" s="8" t="s">
        <v>79</v>
      </c>
      <c r="M92" s="28">
        <v>20.299901999999999</v>
      </c>
      <c r="N92" s="28">
        <v>-76.243095999999994</v>
      </c>
      <c r="O92" s="15"/>
      <c r="P92" s="15"/>
    </row>
    <row r="93" spans="2:16" ht="30">
      <c r="B93" s="8">
        <v>2794</v>
      </c>
      <c r="C93" s="11">
        <v>24013463</v>
      </c>
      <c r="D93" s="10">
        <v>20.3</v>
      </c>
      <c r="E93" s="13">
        <v>295</v>
      </c>
      <c r="F93" s="8">
        <v>69062118583</v>
      </c>
      <c r="G93" s="12" t="s">
        <v>353</v>
      </c>
      <c r="H93" s="11" t="s">
        <v>1229</v>
      </c>
      <c r="I93" s="11" t="s">
        <v>1229</v>
      </c>
      <c r="J93" s="12" t="s">
        <v>1021</v>
      </c>
      <c r="K93" s="8" t="s">
        <v>996</v>
      </c>
      <c r="L93" s="8" t="s">
        <v>79</v>
      </c>
      <c r="M93" s="28">
        <v>20.299901999999999</v>
      </c>
      <c r="N93" s="28">
        <v>-76.243095999999994</v>
      </c>
      <c r="O93" s="15"/>
      <c r="P93" s="15"/>
    </row>
    <row r="94" spans="2:16" ht="30">
      <c r="B94" s="8">
        <v>2794</v>
      </c>
      <c r="C94" s="11">
        <v>24013563</v>
      </c>
      <c r="D94" s="10">
        <v>23.5</v>
      </c>
      <c r="E94" s="13">
        <v>1932.6</v>
      </c>
      <c r="F94" s="8">
        <v>67081917451</v>
      </c>
      <c r="G94" s="12" t="s">
        <v>534</v>
      </c>
      <c r="H94" s="11" t="s">
        <v>1294</v>
      </c>
      <c r="I94" s="11" t="s">
        <v>1294</v>
      </c>
      <c r="J94" s="12" t="s">
        <v>1029</v>
      </c>
      <c r="K94" s="8" t="s">
        <v>1001</v>
      </c>
      <c r="L94" s="8" t="s">
        <v>79</v>
      </c>
      <c r="M94" s="28">
        <v>20.19041</v>
      </c>
      <c r="N94" s="28">
        <v>-75.147661999999997</v>
      </c>
      <c r="O94" s="15"/>
      <c r="P94" s="15"/>
    </row>
    <row r="95" spans="2:16" ht="30">
      <c r="B95" s="8">
        <v>2794</v>
      </c>
      <c r="C95" s="11">
        <v>24013564</v>
      </c>
      <c r="D95" s="10">
        <v>11.5</v>
      </c>
      <c r="E95" s="13">
        <v>1124.0999999999999</v>
      </c>
      <c r="F95" s="8">
        <v>67081917451</v>
      </c>
      <c r="G95" s="12" t="s">
        <v>534</v>
      </c>
      <c r="H95" s="11" t="s">
        <v>1294</v>
      </c>
      <c r="I95" s="11" t="s">
        <v>1294</v>
      </c>
      <c r="J95" s="12" t="s">
        <v>1029</v>
      </c>
      <c r="K95" s="8" t="s">
        <v>1001</v>
      </c>
      <c r="L95" s="8" t="s">
        <v>79</v>
      </c>
      <c r="M95" s="28">
        <v>20.19041</v>
      </c>
      <c r="N95" s="28">
        <v>-75.147661999999997</v>
      </c>
      <c r="O95" s="15"/>
      <c r="P95" s="15"/>
    </row>
    <row r="96" spans="2:16" ht="15">
      <c r="B96" s="8">
        <v>2794</v>
      </c>
      <c r="C96" s="11">
        <v>24013484</v>
      </c>
      <c r="D96" s="10">
        <v>10.8</v>
      </c>
      <c r="E96" s="13">
        <v>897.3</v>
      </c>
      <c r="F96" s="8">
        <v>67012307061</v>
      </c>
      <c r="G96" s="12" t="s">
        <v>396</v>
      </c>
      <c r="H96" s="11" t="s">
        <v>1243</v>
      </c>
      <c r="I96" s="11" t="s">
        <v>1243</v>
      </c>
      <c r="J96" s="12" t="s">
        <v>1031</v>
      </c>
      <c r="K96" s="8" t="s">
        <v>999</v>
      </c>
      <c r="L96" s="8" t="s">
        <v>79</v>
      </c>
      <c r="M96" s="28">
        <v>20.366567</v>
      </c>
      <c r="N96" s="28">
        <v>-75.913719999999998</v>
      </c>
      <c r="O96" s="15"/>
      <c r="P96" s="15"/>
    </row>
    <row r="97" spans="2:16" ht="15">
      <c r="B97" s="8">
        <v>2794</v>
      </c>
      <c r="C97" s="11">
        <v>24013485</v>
      </c>
      <c r="D97" s="10">
        <v>9.5</v>
      </c>
      <c r="E97" s="13">
        <v>295</v>
      </c>
      <c r="F97" s="8">
        <v>67012307061</v>
      </c>
      <c r="G97" s="12" t="s">
        <v>396</v>
      </c>
      <c r="H97" s="11" t="s">
        <v>1243</v>
      </c>
      <c r="I97" s="11" t="s">
        <v>1243</v>
      </c>
      <c r="J97" s="12" t="s">
        <v>1031</v>
      </c>
      <c r="K97" s="8" t="s">
        <v>999</v>
      </c>
      <c r="L97" s="8" t="s">
        <v>79</v>
      </c>
      <c r="M97" s="28">
        <v>20.366567</v>
      </c>
      <c r="N97" s="28">
        <v>-75.913719999999998</v>
      </c>
      <c r="O97" s="15"/>
      <c r="P97" s="15"/>
    </row>
    <row r="98" spans="2:16" ht="30">
      <c r="B98" s="8">
        <v>2794</v>
      </c>
      <c r="C98" s="11">
        <v>24013449</v>
      </c>
      <c r="D98" s="10">
        <v>13</v>
      </c>
      <c r="E98" s="13">
        <v>897.3</v>
      </c>
      <c r="F98" s="8">
        <v>91041348214</v>
      </c>
      <c r="G98" s="12" t="s">
        <v>328</v>
      </c>
      <c r="H98" s="11" t="s">
        <v>1220</v>
      </c>
      <c r="I98" s="11" t="s">
        <v>1220</v>
      </c>
      <c r="J98" s="12" t="s">
        <v>1023</v>
      </c>
      <c r="K98" s="8" t="s">
        <v>995</v>
      </c>
      <c r="L98" s="8" t="s">
        <v>79</v>
      </c>
      <c r="M98" s="28">
        <v>20.198181000000002</v>
      </c>
      <c r="N98" s="28">
        <v>-75.984842999999998</v>
      </c>
      <c r="O98" s="15"/>
      <c r="P98" s="15"/>
    </row>
    <row r="99" spans="2:16" ht="30">
      <c r="B99" s="8">
        <v>2794</v>
      </c>
      <c r="C99" s="11">
        <v>24013526</v>
      </c>
      <c r="D99" s="10">
        <v>20.7</v>
      </c>
      <c r="E99" s="13">
        <v>1705.8</v>
      </c>
      <c r="F99" s="8">
        <v>40981694</v>
      </c>
      <c r="G99" s="12" t="s">
        <v>474</v>
      </c>
      <c r="H99" s="11" t="s">
        <v>1276</v>
      </c>
      <c r="I99" s="11" t="s">
        <v>1276</v>
      </c>
      <c r="J99" s="12" t="s">
        <v>1019</v>
      </c>
      <c r="K99" s="8" t="s">
        <v>995</v>
      </c>
      <c r="L99" s="8" t="s">
        <v>79</v>
      </c>
      <c r="M99" s="28">
        <v>20.228899999999999</v>
      </c>
      <c r="N99" s="28">
        <v>-76.003268000000006</v>
      </c>
      <c r="O99" s="15"/>
      <c r="P99" s="15"/>
    </row>
    <row r="100" spans="2:16" ht="45">
      <c r="B100" s="8">
        <v>2794</v>
      </c>
      <c r="C100" s="11">
        <v>24013423</v>
      </c>
      <c r="D100" s="10">
        <v>15.1</v>
      </c>
      <c r="E100" s="13">
        <v>1199.7</v>
      </c>
      <c r="F100" s="8">
        <v>91110747216</v>
      </c>
      <c r="G100" s="12" t="s">
        <v>274</v>
      </c>
      <c r="H100" s="11" t="s">
        <v>1204</v>
      </c>
      <c r="I100" s="11" t="s">
        <v>1204</v>
      </c>
      <c r="J100" s="12" t="s">
        <v>1030</v>
      </c>
      <c r="K100" s="8" t="s">
        <v>994</v>
      </c>
      <c r="L100" s="8" t="s">
        <v>79</v>
      </c>
      <c r="M100" s="28">
        <v>20.024868999999999</v>
      </c>
      <c r="N100" s="28">
        <v>-75.816368999999995</v>
      </c>
      <c r="O100" s="15"/>
      <c r="P100" s="15"/>
    </row>
    <row r="101" spans="2:16" ht="45">
      <c r="B101" s="8">
        <v>2794</v>
      </c>
      <c r="C101" s="11">
        <v>24013424</v>
      </c>
      <c r="D101" s="10">
        <v>11.8</v>
      </c>
      <c r="E101" s="13">
        <v>746.1</v>
      </c>
      <c r="F101" s="8">
        <v>91110747217</v>
      </c>
      <c r="G101" s="12" t="s">
        <v>274</v>
      </c>
      <c r="H101" s="11" t="s">
        <v>1204</v>
      </c>
      <c r="I101" s="11" t="s">
        <v>1204</v>
      </c>
      <c r="J101" s="12" t="s">
        <v>1030</v>
      </c>
      <c r="K101" s="8" t="s">
        <v>994</v>
      </c>
      <c r="L101" s="8" t="s">
        <v>79</v>
      </c>
      <c r="M101" s="28">
        <v>20.024868999999999</v>
      </c>
      <c r="N101" s="28">
        <v>-75.816368999999995</v>
      </c>
      <c r="O101" s="15"/>
      <c r="P101" s="15"/>
    </row>
    <row r="102" spans="2:16" ht="45">
      <c r="B102" s="8">
        <v>2794</v>
      </c>
      <c r="C102" s="11">
        <v>24013442</v>
      </c>
      <c r="D102" s="10">
        <v>25.8</v>
      </c>
      <c r="E102" s="13">
        <v>1932.6</v>
      </c>
      <c r="F102" s="8">
        <v>68053112019</v>
      </c>
      <c r="G102" s="12" t="s">
        <v>313</v>
      </c>
      <c r="H102" s="11" t="s">
        <v>1215</v>
      </c>
      <c r="I102" s="11" t="s">
        <v>1215</v>
      </c>
      <c r="J102" s="12" t="s">
        <v>1027</v>
      </c>
      <c r="K102" s="8" t="s">
        <v>994</v>
      </c>
      <c r="L102" s="8" t="s">
        <v>79</v>
      </c>
      <c r="M102" s="28">
        <v>20.039694000000001</v>
      </c>
      <c r="N102" s="28">
        <v>-75.835229999999996</v>
      </c>
      <c r="O102" s="15"/>
      <c r="P102" s="15"/>
    </row>
    <row r="103" spans="2:16" ht="45">
      <c r="B103" s="8">
        <v>2794</v>
      </c>
      <c r="C103" s="11">
        <v>24013443</v>
      </c>
      <c r="D103" s="10">
        <v>28.4</v>
      </c>
      <c r="E103" s="13">
        <v>2235</v>
      </c>
      <c r="F103" s="8">
        <v>98121021472</v>
      </c>
      <c r="G103" s="12" t="s">
        <v>316</v>
      </c>
      <c r="H103" s="11" t="s">
        <v>1216</v>
      </c>
      <c r="I103" s="11" t="s">
        <v>1216</v>
      </c>
      <c r="J103" s="12" t="s">
        <v>1027</v>
      </c>
      <c r="K103" s="8" t="s">
        <v>994</v>
      </c>
      <c r="L103" s="8" t="s">
        <v>79</v>
      </c>
      <c r="M103" s="28">
        <v>20.039694000000001</v>
      </c>
      <c r="N103" s="28">
        <v>-75.835229999999996</v>
      </c>
      <c r="O103" s="15"/>
      <c r="P103" s="15"/>
    </row>
    <row r="104" spans="2:16" ht="45">
      <c r="B104" s="8">
        <v>2794</v>
      </c>
      <c r="C104" s="11">
        <v>24013444</v>
      </c>
      <c r="D104" s="10">
        <v>18.399999999999999</v>
      </c>
      <c r="E104" s="13">
        <v>295</v>
      </c>
      <c r="F104" s="8">
        <v>71082511993</v>
      </c>
      <c r="G104" s="12" t="s">
        <v>319</v>
      </c>
      <c r="H104" s="11" t="s">
        <v>1217</v>
      </c>
      <c r="I104" s="11" t="s">
        <v>1217</v>
      </c>
      <c r="J104" s="12" t="s">
        <v>1034</v>
      </c>
      <c r="K104" s="8" t="s">
        <v>994</v>
      </c>
      <c r="L104" s="8" t="s">
        <v>79</v>
      </c>
      <c r="M104" s="28">
        <v>20.014994999999999</v>
      </c>
      <c r="N104" s="28">
        <v>-75.828520999999995</v>
      </c>
      <c r="O104" s="15"/>
      <c r="P104" s="15"/>
    </row>
    <row r="105" spans="2:16" ht="45">
      <c r="B105" s="8">
        <v>2794</v>
      </c>
      <c r="C105" s="11">
        <v>24013469</v>
      </c>
      <c r="D105" s="10">
        <v>9.1</v>
      </c>
      <c r="E105" s="13">
        <v>746.1</v>
      </c>
      <c r="F105" s="8">
        <v>72022143771</v>
      </c>
      <c r="G105" s="12" t="s">
        <v>367</v>
      </c>
      <c r="H105" s="11" t="s">
        <v>1128</v>
      </c>
      <c r="I105" s="11" t="s">
        <v>1128</v>
      </c>
      <c r="J105" s="12" t="s">
        <v>1039</v>
      </c>
      <c r="K105" s="8" t="s">
        <v>994</v>
      </c>
      <c r="L105" s="8" t="s">
        <v>79</v>
      </c>
      <c r="M105" s="28">
        <v>20.015238</v>
      </c>
      <c r="N105" s="28">
        <v>-75.833042000000006</v>
      </c>
      <c r="O105" s="15"/>
      <c r="P105" s="15"/>
    </row>
    <row r="106" spans="2:16" ht="45">
      <c r="B106" s="8">
        <v>2794</v>
      </c>
      <c r="C106" s="11">
        <v>24013487</v>
      </c>
      <c r="D106" s="10">
        <v>13.4</v>
      </c>
      <c r="E106" s="13">
        <v>783.9</v>
      </c>
      <c r="F106" s="8">
        <v>75050311826</v>
      </c>
      <c r="G106" s="12" t="s">
        <v>400</v>
      </c>
      <c r="H106" s="11" t="s">
        <v>1245</v>
      </c>
      <c r="I106" s="11" t="s">
        <v>1245</v>
      </c>
      <c r="J106" s="12" t="s">
        <v>1040</v>
      </c>
      <c r="K106" s="8" t="s">
        <v>994</v>
      </c>
      <c r="L106" s="8" t="s">
        <v>79</v>
      </c>
      <c r="M106" s="28">
        <v>20.026937</v>
      </c>
      <c r="N106" s="28">
        <v>-75.797036000000006</v>
      </c>
      <c r="O106" s="15"/>
      <c r="P106" s="15"/>
    </row>
    <row r="107" spans="2:16" ht="45">
      <c r="B107" s="8">
        <v>2794</v>
      </c>
      <c r="C107" s="11">
        <v>24013504</v>
      </c>
      <c r="D107" s="10">
        <v>24.4</v>
      </c>
      <c r="E107" s="13">
        <v>1932.6</v>
      </c>
      <c r="F107" s="8">
        <v>69120810742</v>
      </c>
      <c r="G107" s="12" t="s">
        <v>432</v>
      </c>
      <c r="H107" s="11" t="s">
        <v>1259</v>
      </c>
      <c r="I107" s="11" t="s">
        <v>1259</v>
      </c>
      <c r="J107" s="12" t="s">
        <v>1014</v>
      </c>
      <c r="K107" s="8" t="s">
        <v>994</v>
      </c>
      <c r="L107" s="8" t="s">
        <v>79</v>
      </c>
      <c r="M107" s="28">
        <v>20.039439999999999</v>
      </c>
      <c r="N107" s="28">
        <v>-75.824966000000003</v>
      </c>
      <c r="O107" s="15"/>
      <c r="P107" s="15"/>
    </row>
    <row r="108" spans="2:16" ht="45">
      <c r="B108" s="8">
        <v>2794</v>
      </c>
      <c r="C108" s="11">
        <v>24013519</v>
      </c>
      <c r="D108" s="10">
        <v>14.6</v>
      </c>
      <c r="E108" s="13">
        <v>1199.7</v>
      </c>
      <c r="F108" s="8">
        <v>64061500805</v>
      </c>
      <c r="G108" s="12" t="s">
        <v>460</v>
      </c>
      <c r="H108" s="11" t="s">
        <v>1270</v>
      </c>
      <c r="I108" s="11" t="s">
        <v>1270</v>
      </c>
      <c r="J108" s="12" t="s">
        <v>1026</v>
      </c>
      <c r="K108" s="8" t="s">
        <v>994</v>
      </c>
      <c r="L108" s="8" t="s">
        <v>79</v>
      </c>
      <c r="M108" s="28">
        <v>20.001740000000002</v>
      </c>
      <c r="N108" s="28">
        <v>-75.769357999999997</v>
      </c>
      <c r="O108" s="15"/>
      <c r="P108" s="15"/>
    </row>
    <row r="109" spans="2:16" ht="45">
      <c r="B109" s="8">
        <v>2794</v>
      </c>
      <c r="C109" s="11">
        <v>24013522</v>
      </c>
      <c r="D109" s="10">
        <v>13.6</v>
      </c>
      <c r="E109" s="13">
        <v>1124.0999999999999</v>
      </c>
      <c r="F109" s="8">
        <v>90042246254</v>
      </c>
      <c r="G109" s="12" t="s">
        <v>467</v>
      </c>
      <c r="H109" s="11" t="s">
        <v>1273</v>
      </c>
      <c r="I109" s="11" t="s">
        <v>1273</v>
      </c>
      <c r="J109" s="12" t="s">
        <v>1022</v>
      </c>
      <c r="K109" s="8" t="s">
        <v>994</v>
      </c>
      <c r="L109" s="8" t="s">
        <v>79</v>
      </c>
      <c r="M109" s="28">
        <v>20.041782999999999</v>
      </c>
      <c r="N109" s="28">
        <v>-75.835746999999998</v>
      </c>
      <c r="O109" s="15"/>
      <c r="P109" s="15"/>
    </row>
    <row r="110" spans="2:16" ht="45">
      <c r="B110" s="8">
        <v>2794</v>
      </c>
      <c r="C110" s="11">
        <v>24013527</v>
      </c>
      <c r="D110" s="10">
        <v>15.2</v>
      </c>
      <c r="E110" s="13">
        <v>1705.8</v>
      </c>
      <c r="F110" s="8">
        <v>66061109631</v>
      </c>
      <c r="G110" s="12" t="s">
        <v>476</v>
      </c>
      <c r="H110" s="11" t="s">
        <v>1277</v>
      </c>
      <c r="I110" s="11" t="s">
        <v>1277</v>
      </c>
      <c r="J110" s="12" t="s">
        <v>1037</v>
      </c>
      <c r="K110" s="8" t="s">
        <v>994</v>
      </c>
      <c r="L110" s="8" t="s">
        <v>79</v>
      </c>
      <c r="M110" s="28">
        <v>20.037465000000001</v>
      </c>
      <c r="N110" s="28">
        <v>-75.823600999999996</v>
      </c>
      <c r="O110" s="15"/>
      <c r="P110" s="15"/>
    </row>
    <row r="111" spans="2:16" ht="45">
      <c r="B111" s="8">
        <v>2794</v>
      </c>
      <c r="C111" s="11">
        <v>24013528</v>
      </c>
      <c r="D111" s="10">
        <v>8.3000000000000007</v>
      </c>
      <c r="E111" s="13">
        <v>295</v>
      </c>
      <c r="F111" s="8">
        <v>66061109631</v>
      </c>
      <c r="G111" s="12" t="s">
        <v>476</v>
      </c>
      <c r="H111" s="11" t="s">
        <v>1277</v>
      </c>
      <c r="I111" s="11" t="s">
        <v>1277</v>
      </c>
      <c r="J111" s="12" t="s">
        <v>1037</v>
      </c>
      <c r="K111" s="8" t="s">
        <v>994</v>
      </c>
      <c r="L111" s="8" t="s">
        <v>79</v>
      </c>
      <c r="M111" s="28">
        <v>20.037465000000001</v>
      </c>
      <c r="N111" s="28">
        <v>-75.823600999999996</v>
      </c>
      <c r="O111" s="15"/>
      <c r="P111" s="15"/>
    </row>
    <row r="112" spans="2:16" ht="45">
      <c r="B112" s="8">
        <v>2794</v>
      </c>
      <c r="C112" s="11">
        <v>24013531</v>
      </c>
      <c r="D112" s="10">
        <v>16.8</v>
      </c>
      <c r="E112" s="13">
        <v>1350.9</v>
      </c>
      <c r="F112" s="8">
        <v>49090417130</v>
      </c>
      <c r="G112" s="12" t="s">
        <v>481</v>
      </c>
      <c r="H112" s="11" t="s">
        <v>1279</v>
      </c>
      <c r="I112" s="11" t="s">
        <v>1279</v>
      </c>
      <c r="J112" s="12" t="s">
        <v>1013</v>
      </c>
      <c r="K112" s="8" t="s">
        <v>994</v>
      </c>
      <c r="L112" s="8" t="s">
        <v>79</v>
      </c>
      <c r="M112" s="28">
        <v>20.008329</v>
      </c>
      <c r="N112" s="28">
        <v>-75.837294999999997</v>
      </c>
      <c r="O112" s="15"/>
      <c r="P112" s="15"/>
    </row>
    <row r="113" spans="2:16" ht="45">
      <c r="B113" s="8">
        <v>2794</v>
      </c>
      <c r="C113" s="11">
        <v>24013556</v>
      </c>
      <c r="D113" s="10">
        <v>22.6</v>
      </c>
      <c r="E113" s="13">
        <v>1857</v>
      </c>
      <c r="F113" s="8">
        <v>89030213060</v>
      </c>
      <c r="G113" s="12" t="s">
        <v>523</v>
      </c>
      <c r="H113" s="11" t="s">
        <v>1291</v>
      </c>
      <c r="I113" s="11" t="s">
        <v>1291</v>
      </c>
      <c r="J113" s="12" t="s">
        <v>1025</v>
      </c>
      <c r="K113" s="8" t="s">
        <v>994</v>
      </c>
      <c r="L113" s="8" t="s">
        <v>79</v>
      </c>
      <c r="M113" s="28">
        <v>20.001709000000002</v>
      </c>
      <c r="N113" s="28">
        <v>-75.830879999999993</v>
      </c>
      <c r="O113" s="15"/>
      <c r="P113" s="15"/>
    </row>
    <row r="114" spans="2:16" ht="45">
      <c r="B114" s="8">
        <v>2794</v>
      </c>
      <c r="C114" s="11">
        <v>24013557</v>
      </c>
      <c r="D114" s="10">
        <v>10.9</v>
      </c>
      <c r="E114" s="13">
        <v>897.3</v>
      </c>
      <c r="F114" s="8">
        <v>89030213060</v>
      </c>
      <c r="G114" s="12" t="s">
        <v>523</v>
      </c>
      <c r="H114" s="11" t="s">
        <v>1291</v>
      </c>
      <c r="I114" s="11" t="s">
        <v>1291</v>
      </c>
      <c r="J114" s="12" t="s">
        <v>1025</v>
      </c>
      <c r="K114" s="8" t="s">
        <v>994</v>
      </c>
      <c r="L114" s="8" t="s">
        <v>79</v>
      </c>
      <c r="M114" s="28">
        <v>20.001709000000002</v>
      </c>
      <c r="N114" s="28">
        <v>-75.830879999999993</v>
      </c>
      <c r="O114" s="15"/>
      <c r="P114" s="15"/>
    </row>
    <row r="115" spans="2:16" ht="30">
      <c r="B115" s="8">
        <v>2794</v>
      </c>
      <c r="C115" s="11">
        <v>24013517</v>
      </c>
      <c r="D115" s="10">
        <v>19.600000000000001</v>
      </c>
      <c r="E115" s="13">
        <v>1577.7</v>
      </c>
      <c r="F115" s="8">
        <v>97082222170</v>
      </c>
      <c r="G115" s="12" t="s">
        <v>455</v>
      </c>
      <c r="H115" s="11" t="s">
        <v>1268</v>
      </c>
      <c r="I115" s="11" t="s">
        <v>1268</v>
      </c>
      <c r="J115" s="12" t="s">
        <v>1038</v>
      </c>
      <c r="K115" s="8" t="s">
        <v>1000</v>
      </c>
      <c r="L115" s="8" t="s">
        <v>79</v>
      </c>
      <c r="M115" s="28">
        <v>20.406510999999998</v>
      </c>
      <c r="N115" s="28">
        <v>-75.541717000000006</v>
      </c>
      <c r="O115" s="15"/>
      <c r="P115" s="15"/>
    </row>
    <row r="116" spans="2:16" ht="45">
      <c r="B116" s="8">
        <v>2794</v>
      </c>
      <c r="C116" s="11">
        <v>24013514</v>
      </c>
      <c r="D116" s="10">
        <v>11.3</v>
      </c>
      <c r="E116" s="13">
        <v>897.3</v>
      </c>
      <c r="F116" s="8">
        <v>94031947351</v>
      </c>
      <c r="G116" s="12" t="s">
        <v>449</v>
      </c>
      <c r="H116" s="11" t="s">
        <v>1265</v>
      </c>
      <c r="I116" s="11" t="s">
        <v>1265</v>
      </c>
      <c r="J116" s="12" t="s">
        <v>1055</v>
      </c>
      <c r="K116" s="8" t="s">
        <v>1044</v>
      </c>
      <c r="L116" s="8" t="s">
        <v>211</v>
      </c>
      <c r="M116" s="28">
        <v>22.808312000000001</v>
      </c>
      <c r="N116" s="28">
        <v>-80.080389999999994</v>
      </c>
      <c r="O116" s="15"/>
      <c r="P116" s="15"/>
    </row>
    <row r="117" spans="2:16" ht="30">
      <c r="B117" s="8">
        <v>2794</v>
      </c>
      <c r="C117" s="11">
        <v>24013454</v>
      </c>
      <c r="D117" s="10">
        <v>11.6</v>
      </c>
      <c r="E117" s="13">
        <v>295</v>
      </c>
      <c r="F117" s="8">
        <v>88092514279</v>
      </c>
      <c r="G117" s="12" t="s">
        <v>334</v>
      </c>
      <c r="H117" s="11" t="s">
        <v>1222</v>
      </c>
      <c r="I117" s="11" t="s">
        <v>1222</v>
      </c>
      <c r="J117" s="12" t="s">
        <v>1076</v>
      </c>
      <c r="K117" s="8" t="s">
        <v>1042</v>
      </c>
      <c r="L117" s="8" t="s">
        <v>211</v>
      </c>
      <c r="M117" s="28">
        <v>22.398679000000001</v>
      </c>
      <c r="N117" s="28">
        <v>-79.953992</v>
      </c>
      <c r="O117" s="15"/>
      <c r="P117" s="15"/>
    </row>
    <row r="118" spans="2:16" ht="30">
      <c r="B118" s="8">
        <v>2794</v>
      </c>
      <c r="C118" s="11">
        <v>24013455</v>
      </c>
      <c r="D118" s="10">
        <v>4.2</v>
      </c>
      <c r="E118" s="13">
        <v>295</v>
      </c>
      <c r="F118" s="8">
        <v>88092514279</v>
      </c>
      <c r="G118" s="12" t="s">
        <v>334</v>
      </c>
      <c r="H118" s="11" t="s">
        <v>1222</v>
      </c>
      <c r="I118" s="11" t="s">
        <v>1222</v>
      </c>
      <c r="J118" s="12" t="s">
        <v>1076</v>
      </c>
      <c r="K118" s="8" t="s">
        <v>1042</v>
      </c>
      <c r="L118" s="8" t="s">
        <v>211</v>
      </c>
      <c r="M118" s="28">
        <v>22.398679000000001</v>
      </c>
      <c r="N118" s="28">
        <v>-79.953992</v>
      </c>
      <c r="O118" s="15"/>
      <c r="P118" s="15"/>
    </row>
    <row r="119" spans="2:16" ht="30">
      <c r="B119" s="8">
        <v>2794</v>
      </c>
      <c r="C119" s="11">
        <v>24013461</v>
      </c>
      <c r="D119" s="10">
        <v>17</v>
      </c>
      <c r="E119" s="13">
        <v>1350.9</v>
      </c>
      <c r="F119" s="8">
        <v>63101022051</v>
      </c>
      <c r="G119" s="12" t="s">
        <v>351</v>
      </c>
      <c r="H119" s="11" t="s">
        <v>1228</v>
      </c>
      <c r="I119" s="11" t="s">
        <v>1228</v>
      </c>
      <c r="J119" s="12" t="s">
        <v>1077</v>
      </c>
      <c r="K119" s="8" t="s">
        <v>1042</v>
      </c>
      <c r="L119" s="8" t="s">
        <v>211</v>
      </c>
      <c r="M119" s="28">
        <v>22.409130999999999</v>
      </c>
      <c r="N119" s="28">
        <v>-79.966277000000005</v>
      </c>
      <c r="O119" s="15"/>
      <c r="P119" s="15"/>
    </row>
    <row r="120" spans="2:16" ht="30">
      <c r="B120" s="8">
        <v>2794</v>
      </c>
      <c r="C120" s="11">
        <v>24013473</v>
      </c>
      <c r="D120" s="10">
        <v>22.5</v>
      </c>
      <c r="E120" s="13">
        <v>1857</v>
      </c>
      <c r="F120" s="8">
        <v>54031502552</v>
      </c>
      <c r="G120" s="12" t="s">
        <v>376</v>
      </c>
      <c r="H120" s="11" t="s">
        <v>1236</v>
      </c>
      <c r="I120" s="11" t="s">
        <v>1236</v>
      </c>
      <c r="J120" s="12" t="s">
        <v>1078</v>
      </c>
      <c r="K120" s="8" t="s">
        <v>1042</v>
      </c>
      <c r="L120" s="8" t="s">
        <v>211</v>
      </c>
      <c r="M120" s="28">
        <v>22.391373999999999</v>
      </c>
      <c r="N120" s="28">
        <v>-79.956429</v>
      </c>
      <c r="O120" s="15"/>
      <c r="P120" s="15"/>
    </row>
    <row r="121" spans="2:16" ht="30">
      <c r="B121" s="8">
        <v>2794</v>
      </c>
      <c r="C121" s="11">
        <v>24013474</v>
      </c>
      <c r="D121" s="10">
        <v>14.9</v>
      </c>
      <c r="E121" s="13">
        <v>1048.5</v>
      </c>
      <c r="F121" s="8">
        <v>54031502552</v>
      </c>
      <c r="G121" s="12" t="s">
        <v>376</v>
      </c>
      <c r="H121" s="11" t="s">
        <v>1236</v>
      </c>
      <c r="I121" s="11" t="s">
        <v>1236</v>
      </c>
      <c r="J121" s="12" t="s">
        <v>1078</v>
      </c>
      <c r="K121" s="8" t="s">
        <v>1042</v>
      </c>
      <c r="L121" s="8" t="s">
        <v>211</v>
      </c>
      <c r="M121" s="28">
        <v>22.391373999999999</v>
      </c>
      <c r="N121" s="28">
        <v>-79.956429</v>
      </c>
      <c r="O121" s="15"/>
      <c r="P121" s="15"/>
    </row>
    <row r="122" spans="2:16" ht="30">
      <c r="B122" s="8">
        <v>2794</v>
      </c>
      <c r="C122" s="11">
        <v>24013490</v>
      </c>
      <c r="D122" s="10">
        <v>14.6</v>
      </c>
      <c r="E122" s="13">
        <v>1199.7</v>
      </c>
      <c r="F122" s="8">
        <v>59110917413</v>
      </c>
      <c r="G122" s="12" t="s">
        <v>408</v>
      </c>
      <c r="H122" s="11" t="s">
        <v>1248</v>
      </c>
      <c r="I122" s="11" t="s">
        <v>1248</v>
      </c>
      <c r="J122" s="12" t="s">
        <v>1079</v>
      </c>
      <c r="K122" s="8" t="s">
        <v>1042</v>
      </c>
      <c r="L122" s="8" t="s">
        <v>211</v>
      </c>
      <c r="M122" s="28">
        <v>22.412562999999999</v>
      </c>
      <c r="N122" s="28">
        <v>-79.999122</v>
      </c>
      <c r="O122" s="15"/>
      <c r="P122" s="15"/>
    </row>
    <row r="123" spans="2:16" ht="30">
      <c r="B123" s="8">
        <v>2794</v>
      </c>
      <c r="C123" s="11">
        <v>24013491</v>
      </c>
      <c r="D123" s="10">
        <v>22.2</v>
      </c>
      <c r="E123" s="13">
        <v>1857</v>
      </c>
      <c r="F123" s="8">
        <v>55090805479</v>
      </c>
      <c r="G123" s="12" t="s">
        <v>249</v>
      </c>
      <c r="H123" s="11" t="s">
        <v>1249</v>
      </c>
      <c r="I123" s="11" t="s">
        <v>1250</v>
      </c>
      <c r="J123" s="12" t="s">
        <v>1409</v>
      </c>
      <c r="K123" s="8" t="s">
        <v>1042</v>
      </c>
      <c r="L123" s="8" t="s">
        <v>211</v>
      </c>
      <c r="M123" s="28">
        <v>22.405377999999999</v>
      </c>
      <c r="N123" s="28">
        <v>-79.945884000000007</v>
      </c>
      <c r="O123" s="15"/>
      <c r="P123" s="15"/>
    </row>
    <row r="124" spans="2:16" ht="30">
      <c r="B124" s="8">
        <v>2794</v>
      </c>
      <c r="C124" s="11">
        <v>24013505</v>
      </c>
      <c r="D124" s="10">
        <v>20.399999999999999</v>
      </c>
      <c r="E124" s="13">
        <v>295</v>
      </c>
      <c r="F124" s="8">
        <v>69053014976</v>
      </c>
      <c r="G124" s="12" t="s">
        <v>434</v>
      </c>
      <c r="H124" s="11" t="s">
        <v>1260</v>
      </c>
      <c r="I124" s="11" t="s">
        <v>1260</v>
      </c>
      <c r="J124" s="12" t="s">
        <v>1081</v>
      </c>
      <c r="K124" s="8" t="s">
        <v>1042</v>
      </c>
      <c r="L124" s="8" t="s">
        <v>211</v>
      </c>
      <c r="M124" s="28">
        <v>22.399381000000002</v>
      </c>
      <c r="N124" s="28">
        <v>-79.958901999999995</v>
      </c>
      <c r="O124" s="15"/>
      <c r="P124" s="15"/>
    </row>
    <row r="125" spans="2:16" ht="30">
      <c r="B125" s="8">
        <v>2794</v>
      </c>
      <c r="C125" s="11">
        <v>24013539</v>
      </c>
      <c r="D125" s="10">
        <v>18.899999999999999</v>
      </c>
      <c r="E125" s="13">
        <v>1502.1</v>
      </c>
      <c r="F125" s="8">
        <v>62021804237</v>
      </c>
      <c r="G125" s="12" t="s">
        <v>492</v>
      </c>
      <c r="H125" s="11" t="s">
        <v>1283</v>
      </c>
      <c r="I125" s="11" t="s">
        <v>1283</v>
      </c>
      <c r="J125" s="12" t="s">
        <v>1082</v>
      </c>
      <c r="K125" s="8" t="s">
        <v>1042</v>
      </c>
      <c r="L125" s="8" t="s">
        <v>211</v>
      </c>
      <c r="M125" s="28">
        <v>22.392790999999999</v>
      </c>
      <c r="N125" s="28">
        <v>-79.949355999999995</v>
      </c>
      <c r="O125" s="15"/>
      <c r="P125" s="15"/>
    </row>
    <row r="126" spans="2:16" ht="30">
      <c r="B126" s="8">
        <v>2794</v>
      </c>
      <c r="C126" s="11">
        <v>24013466</v>
      </c>
      <c r="D126" s="10">
        <v>4.7</v>
      </c>
      <c r="E126" s="13">
        <v>443.7</v>
      </c>
      <c r="F126" s="8">
        <v>55042902536</v>
      </c>
      <c r="G126" s="12" t="s">
        <v>362</v>
      </c>
      <c r="H126" s="11" t="s">
        <v>1232</v>
      </c>
      <c r="I126" s="11" t="s">
        <v>1232</v>
      </c>
      <c r="J126" s="12" t="s">
        <v>1069</v>
      </c>
      <c r="K126" s="8" t="s">
        <v>1041</v>
      </c>
      <c r="L126" s="8" t="s">
        <v>1052</v>
      </c>
      <c r="M126" s="28">
        <v>21.926306</v>
      </c>
      <c r="N126" s="28">
        <v>-79.444694999999996</v>
      </c>
      <c r="O126" s="15"/>
      <c r="P126" s="15"/>
    </row>
    <row r="127" spans="2:16" ht="30">
      <c r="B127" s="8">
        <v>2794</v>
      </c>
      <c r="C127" s="11">
        <v>24013486</v>
      </c>
      <c r="D127" s="10">
        <v>18.100000000000001</v>
      </c>
      <c r="E127" s="13">
        <v>1350.9</v>
      </c>
      <c r="F127" s="8">
        <v>98082913194</v>
      </c>
      <c r="G127" s="12" t="s">
        <v>398</v>
      </c>
      <c r="H127" s="11" t="s">
        <v>1244</v>
      </c>
      <c r="I127" s="11" t="s">
        <v>1244</v>
      </c>
      <c r="J127" s="12" t="s">
        <v>1068</v>
      </c>
      <c r="K127" s="8" t="s">
        <v>1041</v>
      </c>
      <c r="L127" s="8" t="s">
        <v>1052</v>
      </c>
      <c r="M127" s="28">
        <v>21.935915999999999</v>
      </c>
      <c r="N127" s="28">
        <v>-79.448610000000002</v>
      </c>
      <c r="O127" s="15"/>
      <c r="P127" s="15"/>
    </row>
    <row r="128" spans="2:16" ht="30">
      <c r="B128" s="8">
        <v>2794</v>
      </c>
      <c r="C128" s="11">
        <v>24013523</v>
      </c>
      <c r="D128" s="10">
        <v>7.8</v>
      </c>
      <c r="E128" s="13">
        <v>670.5</v>
      </c>
      <c r="F128" s="8">
        <v>65112308670</v>
      </c>
      <c r="G128" s="12" t="s">
        <v>470</v>
      </c>
      <c r="H128" s="11" t="s">
        <v>1274</v>
      </c>
      <c r="I128" s="11" t="s">
        <v>1274</v>
      </c>
      <c r="J128" s="12" t="s">
        <v>1067</v>
      </c>
      <c r="K128" s="8" t="s">
        <v>1041</v>
      </c>
      <c r="L128" s="8" t="s">
        <v>1052</v>
      </c>
      <c r="M128" s="28">
        <v>21.937131000000001</v>
      </c>
      <c r="N128" s="28">
        <v>-79.434122000000002</v>
      </c>
      <c r="O128" s="15"/>
      <c r="P128" s="15"/>
    </row>
    <row r="129" spans="2:16" ht="30">
      <c r="B129" s="8">
        <v>2794</v>
      </c>
      <c r="C129" s="11">
        <v>24013524</v>
      </c>
      <c r="D129" s="10">
        <v>6.7</v>
      </c>
      <c r="E129" s="13">
        <v>594.9</v>
      </c>
      <c r="F129" s="8">
        <v>65112308670</v>
      </c>
      <c r="G129" s="12" t="s">
        <v>470</v>
      </c>
      <c r="H129" s="11" t="s">
        <v>1274</v>
      </c>
      <c r="I129" s="11" t="s">
        <v>1274</v>
      </c>
      <c r="J129" s="12" t="s">
        <v>1067</v>
      </c>
      <c r="K129" s="8" t="s">
        <v>1041</v>
      </c>
      <c r="L129" s="8" t="s">
        <v>1052</v>
      </c>
      <c r="M129" s="28">
        <v>21.937131000000001</v>
      </c>
      <c r="N129" s="28">
        <v>-79.434122000000002</v>
      </c>
      <c r="O129" s="15"/>
      <c r="P129" s="15"/>
    </row>
    <row r="130" spans="2:16" ht="30">
      <c r="B130" s="8">
        <v>2794</v>
      </c>
      <c r="C130" s="11">
        <v>24013465</v>
      </c>
      <c r="D130" s="10">
        <v>14.7</v>
      </c>
      <c r="E130" s="13">
        <v>1124.0999999999999</v>
      </c>
      <c r="F130" s="8">
        <v>82111918023</v>
      </c>
      <c r="G130" s="12" t="s">
        <v>359</v>
      </c>
      <c r="H130" s="11" t="s">
        <v>1231</v>
      </c>
      <c r="I130" s="11" t="s">
        <v>1231</v>
      </c>
      <c r="J130" s="12" t="s">
        <v>1064</v>
      </c>
      <c r="K130" s="8" t="s">
        <v>1046</v>
      </c>
      <c r="L130" s="8" t="s">
        <v>1052</v>
      </c>
      <c r="M130" s="28">
        <v>22.327414000000001</v>
      </c>
      <c r="N130" s="28">
        <v>-79.241140000000001</v>
      </c>
      <c r="O130" s="15"/>
      <c r="P130" s="15"/>
    </row>
    <row r="131" spans="2:16" ht="30">
      <c r="B131" s="8">
        <v>2794</v>
      </c>
      <c r="C131" s="11">
        <v>24013516</v>
      </c>
      <c r="D131" s="10">
        <v>25.3</v>
      </c>
      <c r="E131" s="13">
        <v>1819.2</v>
      </c>
      <c r="F131" s="8">
        <v>77061001018</v>
      </c>
      <c r="G131" s="12" t="s">
        <v>453</v>
      </c>
      <c r="H131" s="11" t="s">
        <v>1267</v>
      </c>
      <c r="I131" s="11" t="s">
        <v>1267</v>
      </c>
      <c r="J131" s="12" t="s">
        <v>1065</v>
      </c>
      <c r="K131" s="8" t="s">
        <v>1046</v>
      </c>
      <c r="L131" s="8" t="s">
        <v>1052</v>
      </c>
      <c r="M131" s="28">
        <v>22.159973000000001</v>
      </c>
      <c r="N131" s="28">
        <v>-79.090001000000001</v>
      </c>
      <c r="O131" s="15"/>
      <c r="P131" s="15"/>
    </row>
    <row r="132" spans="2:16" ht="30">
      <c r="B132" s="8">
        <v>2794</v>
      </c>
      <c r="C132" s="11">
        <v>24013467</v>
      </c>
      <c r="D132" s="10">
        <v>10.9</v>
      </c>
      <c r="E132" s="13">
        <v>897.3</v>
      </c>
      <c r="F132" s="8">
        <v>93070919074</v>
      </c>
      <c r="G132" s="12" t="s">
        <v>364</v>
      </c>
      <c r="H132" s="11" t="s">
        <v>1233</v>
      </c>
      <c r="I132" s="11" t="s">
        <v>1233</v>
      </c>
      <c r="J132" s="12" t="s">
        <v>1095</v>
      </c>
      <c r="K132" s="8" t="s">
        <v>1084</v>
      </c>
      <c r="L132" s="8" t="s">
        <v>185</v>
      </c>
      <c r="M132" s="28">
        <v>23.053314</v>
      </c>
      <c r="N132" s="28">
        <v>-81.587546000000003</v>
      </c>
      <c r="O132" s="15"/>
      <c r="P132" s="15"/>
    </row>
    <row r="133" spans="2:16" ht="30">
      <c r="B133" s="8">
        <v>2794</v>
      </c>
      <c r="C133" s="11">
        <v>24013468</v>
      </c>
      <c r="D133" s="10">
        <v>10.5</v>
      </c>
      <c r="E133" s="13">
        <v>897.3</v>
      </c>
      <c r="F133" s="8">
        <v>93070919074</v>
      </c>
      <c r="G133" s="12" t="s">
        <v>364</v>
      </c>
      <c r="H133" s="11" t="s">
        <v>1233</v>
      </c>
      <c r="I133" s="11" t="s">
        <v>1233</v>
      </c>
      <c r="J133" s="12" t="s">
        <v>1095</v>
      </c>
      <c r="K133" s="8" t="s">
        <v>1084</v>
      </c>
      <c r="L133" s="8" t="s">
        <v>185</v>
      </c>
      <c r="M133" s="28">
        <v>23.053314</v>
      </c>
      <c r="N133" s="28">
        <v>-81.587546000000003</v>
      </c>
      <c r="O133" s="15"/>
      <c r="P133" s="15"/>
    </row>
    <row r="134" spans="2:16" ht="30">
      <c r="B134" s="8">
        <v>2794</v>
      </c>
      <c r="C134" s="11">
        <v>24013470</v>
      </c>
      <c r="D134" s="10">
        <v>15.1</v>
      </c>
      <c r="E134" s="13">
        <v>295</v>
      </c>
      <c r="F134" s="8">
        <v>4011168972</v>
      </c>
      <c r="G134" s="12" t="s">
        <v>370</v>
      </c>
      <c r="H134" s="11" t="s">
        <v>1234</v>
      </c>
      <c r="I134" s="11" t="s">
        <v>1234</v>
      </c>
      <c r="J134" s="12" t="s">
        <v>1094</v>
      </c>
      <c r="K134" s="8" t="s">
        <v>1084</v>
      </c>
      <c r="L134" s="8" t="s">
        <v>185</v>
      </c>
      <c r="M134" s="28">
        <v>23.030169999999998</v>
      </c>
      <c r="N134" s="28">
        <v>-81.524449000000004</v>
      </c>
      <c r="O134" s="15"/>
      <c r="P134" s="15"/>
    </row>
    <row r="135" spans="2:16" ht="30">
      <c r="B135" s="8">
        <v>2794</v>
      </c>
      <c r="C135" s="11">
        <v>24013471</v>
      </c>
      <c r="D135" s="10">
        <v>8.3000000000000007</v>
      </c>
      <c r="E135" s="13">
        <v>295</v>
      </c>
      <c r="F135" s="8">
        <v>4011168972</v>
      </c>
      <c r="G135" s="12" t="s">
        <v>370</v>
      </c>
      <c r="H135" s="11" t="s">
        <v>1234</v>
      </c>
      <c r="I135" s="11" t="s">
        <v>1234</v>
      </c>
      <c r="J135" s="12" t="s">
        <v>1094</v>
      </c>
      <c r="K135" s="8" t="s">
        <v>1084</v>
      </c>
      <c r="L135" s="8" t="s">
        <v>185</v>
      </c>
      <c r="M135" s="28">
        <v>23.030169999999998</v>
      </c>
      <c r="N135" s="28">
        <v>-81.524449000000004</v>
      </c>
      <c r="O135" s="15"/>
      <c r="P135" s="15"/>
    </row>
    <row r="136" spans="2:16" ht="30">
      <c r="B136" s="8">
        <v>2794</v>
      </c>
      <c r="C136" s="11">
        <v>24013481</v>
      </c>
      <c r="D136" s="10">
        <v>24.9</v>
      </c>
      <c r="E136" s="13">
        <v>2159.4</v>
      </c>
      <c r="F136" s="8">
        <v>96111223391</v>
      </c>
      <c r="G136" s="12" t="s">
        <v>391</v>
      </c>
      <c r="H136" s="11" t="s">
        <v>1241</v>
      </c>
      <c r="I136" s="11" t="s">
        <v>1241</v>
      </c>
      <c r="J136" s="12" t="s">
        <v>1093</v>
      </c>
      <c r="K136" s="8" t="s">
        <v>1084</v>
      </c>
      <c r="L136" s="8" t="s">
        <v>185</v>
      </c>
      <c r="M136" s="28">
        <v>23.030712000000001</v>
      </c>
      <c r="N136" s="28">
        <v>-81.526819000000003</v>
      </c>
      <c r="O136" s="15"/>
      <c r="P136" s="15"/>
    </row>
    <row r="137" spans="2:16" ht="30">
      <c r="B137" s="8">
        <v>2794</v>
      </c>
      <c r="C137" s="11">
        <v>24013482</v>
      </c>
      <c r="D137" s="10">
        <v>25</v>
      </c>
      <c r="E137" s="13">
        <v>443.7</v>
      </c>
      <c r="F137" s="8">
        <v>96111223391</v>
      </c>
      <c r="G137" s="12" t="s">
        <v>391</v>
      </c>
      <c r="H137" s="11" t="s">
        <v>1241</v>
      </c>
      <c r="I137" s="11" t="s">
        <v>1241</v>
      </c>
      <c r="J137" s="12" t="s">
        <v>1093</v>
      </c>
      <c r="K137" s="8" t="s">
        <v>1084</v>
      </c>
      <c r="L137" s="8" t="s">
        <v>185</v>
      </c>
      <c r="M137" s="28">
        <v>23.030712000000001</v>
      </c>
      <c r="N137" s="28">
        <v>-81.526819000000003</v>
      </c>
      <c r="O137" s="15"/>
      <c r="P137" s="15"/>
    </row>
    <row r="138" spans="2:16" ht="30">
      <c r="B138" s="8">
        <v>2794</v>
      </c>
      <c r="C138" s="11">
        <v>24013509</v>
      </c>
      <c r="D138" s="10">
        <v>5.6</v>
      </c>
      <c r="E138" s="13">
        <v>519.29999999999995</v>
      </c>
      <c r="F138" s="8">
        <v>5052868970</v>
      </c>
      <c r="G138" s="12" t="s">
        <v>444</v>
      </c>
      <c r="H138" s="11" t="s">
        <v>1172</v>
      </c>
      <c r="I138" s="11" t="s">
        <v>1172</v>
      </c>
      <c r="J138" s="12" t="s">
        <v>1091</v>
      </c>
      <c r="K138" s="8" t="s">
        <v>1084</v>
      </c>
      <c r="L138" s="8" t="s">
        <v>185</v>
      </c>
      <c r="M138" s="28">
        <v>23.035536</v>
      </c>
      <c r="N138" s="28">
        <v>-81.525245999999996</v>
      </c>
      <c r="O138" s="15"/>
      <c r="P138" s="15"/>
    </row>
    <row r="139" spans="2:16" ht="30">
      <c r="B139" s="8">
        <v>2794</v>
      </c>
      <c r="C139" s="11">
        <v>24013510</v>
      </c>
      <c r="D139" s="10">
        <v>7.1</v>
      </c>
      <c r="E139" s="13">
        <v>594.9</v>
      </c>
      <c r="F139" s="8">
        <v>5052868970</v>
      </c>
      <c r="G139" s="12" t="s">
        <v>444</v>
      </c>
      <c r="H139" s="11" t="s">
        <v>1172</v>
      </c>
      <c r="I139" s="11" t="s">
        <v>1172</v>
      </c>
      <c r="J139" s="12" t="s">
        <v>1091</v>
      </c>
      <c r="K139" s="8" t="s">
        <v>1084</v>
      </c>
      <c r="L139" s="8" t="s">
        <v>185</v>
      </c>
      <c r="M139" s="28">
        <v>23.035536</v>
      </c>
      <c r="N139" s="28">
        <v>-81.525245999999996</v>
      </c>
      <c r="O139" s="15"/>
      <c r="P139" s="15"/>
    </row>
    <row r="140" spans="2:16" ht="30">
      <c r="B140" s="8">
        <v>2794</v>
      </c>
      <c r="C140" s="11">
        <v>24013511</v>
      </c>
      <c r="D140" s="10">
        <v>10.4</v>
      </c>
      <c r="E140" s="13">
        <v>821.7</v>
      </c>
      <c r="F140" s="8">
        <v>5052868970</v>
      </c>
      <c r="G140" s="12" t="s">
        <v>444</v>
      </c>
      <c r="H140" s="11" t="s">
        <v>1172</v>
      </c>
      <c r="I140" s="11" t="s">
        <v>1172</v>
      </c>
      <c r="J140" s="12" t="s">
        <v>1091</v>
      </c>
      <c r="K140" s="8" t="s">
        <v>1084</v>
      </c>
      <c r="L140" s="8" t="s">
        <v>185</v>
      </c>
      <c r="M140" s="28">
        <v>23.035536</v>
      </c>
      <c r="N140" s="28">
        <v>-81.525245999999996</v>
      </c>
      <c r="O140" s="15"/>
      <c r="P140" s="15"/>
    </row>
    <row r="141" spans="2:16" ht="30">
      <c r="B141" s="8">
        <v>2794</v>
      </c>
      <c r="C141" s="11">
        <v>24013512</v>
      </c>
      <c r="D141" s="10">
        <v>9.1</v>
      </c>
      <c r="E141" s="13">
        <v>746.1</v>
      </c>
      <c r="F141" s="8">
        <v>5052868970</v>
      </c>
      <c r="G141" s="12" t="s">
        <v>444</v>
      </c>
      <c r="H141" s="11" t="s">
        <v>1172</v>
      </c>
      <c r="I141" s="11" t="s">
        <v>1172</v>
      </c>
      <c r="J141" s="12" t="s">
        <v>1091</v>
      </c>
      <c r="K141" s="8" t="s">
        <v>1084</v>
      </c>
      <c r="L141" s="8" t="s">
        <v>185</v>
      </c>
      <c r="M141" s="28">
        <v>23.035536</v>
      </c>
      <c r="N141" s="28">
        <v>-81.525245999999996</v>
      </c>
      <c r="O141" s="15"/>
      <c r="P141" s="15"/>
    </row>
    <row r="142" spans="2:16" ht="30">
      <c r="B142" s="8">
        <v>2794</v>
      </c>
      <c r="C142" s="11">
        <v>24013544</v>
      </c>
      <c r="D142" s="10">
        <v>21</v>
      </c>
      <c r="E142" s="13">
        <v>295</v>
      </c>
      <c r="F142" s="8">
        <v>65042403255</v>
      </c>
      <c r="G142" s="12" t="s">
        <v>500</v>
      </c>
      <c r="H142" s="11" t="s">
        <v>1285</v>
      </c>
      <c r="I142" s="11" t="s">
        <v>1285</v>
      </c>
      <c r="J142" s="12" t="s">
        <v>1092</v>
      </c>
      <c r="K142" s="8" t="s">
        <v>1084</v>
      </c>
      <c r="L142" s="8" t="s">
        <v>185</v>
      </c>
      <c r="M142" s="28">
        <v>23.040671</v>
      </c>
      <c r="N142" s="28">
        <v>-81.521643999999995</v>
      </c>
      <c r="O142" s="15"/>
      <c r="P142" s="15"/>
    </row>
    <row r="143" spans="2:16" ht="30">
      <c r="B143" s="8">
        <v>2794</v>
      </c>
      <c r="C143" s="11">
        <v>24013545</v>
      </c>
      <c r="D143" s="10">
        <v>8.3000000000000007</v>
      </c>
      <c r="E143" s="13">
        <v>670.5</v>
      </c>
      <c r="F143" s="8">
        <v>65042403255</v>
      </c>
      <c r="G143" s="12" t="s">
        <v>500</v>
      </c>
      <c r="H143" s="11" t="s">
        <v>1285</v>
      </c>
      <c r="I143" s="11" t="s">
        <v>1285</v>
      </c>
      <c r="J143" s="12" t="s">
        <v>1092</v>
      </c>
      <c r="K143" s="8" t="s">
        <v>1084</v>
      </c>
      <c r="L143" s="8" t="s">
        <v>185</v>
      </c>
      <c r="M143" s="28">
        <v>23.040671</v>
      </c>
      <c r="N143" s="28">
        <v>-81.521643999999995</v>
      </c>
      <c r="O143" s="15"/>
      <c r="P143" s="15"/>
    </row>
    <row r="144" spans="2:16" ht="30">
      <c r="B144" s="8">
        <v>2794</v>
      </c>
      <c r="C144" s="11">
        <v>24013546</v>
      </c>
      <c r="D144" s="10">
        <v>16.600000000000001</v>
      </c>
      <c r="E144" s="13">
        <v>1350.9</v>
      </c>
      <c r="F144" s="8">
        <v>65042403255</v>
      </c>
      <c r="G144" s="12" t="s">
        <v>500</v>
      </c>
      <c r="H144" s="11" t="s">
        <v>1285</v>
      </c>
      <c r="I144" s="11" t="s">
        <v>1285</v>
      </c>
      <c r="J144" s="12" t="s">
        <v>1092</v>
      </c>
      <c r="K144" s="8" t="s">
        <v>1084</v>
      </c>
      <c r="L144" s="8" t="s">
        <v>185</v>
      </c>
      <c r="M144" s="28">
        <v>23.040671</v>
      </c>
      <c r="N144" s="28">
        <v>-81.521643999999995</v>
      </c>
      <c r="O144" s="15"/>
      <c r="P144" s="15"/>
    </row>
    <row r="145" spans="2:16" ht="30">
      <c r="B145" s="8">
        <v>2794</v>
      </c>
      <c r="C145" s="11">
        <v>24013547</v>
      </c>
      <c r="D145" s="10">
        <v>17.5</v>
      </c>
      <c r="E145" s="13">
        <v>295</v>
      </c>
      <c r="F145" s="8">
        <v>73090128299</v>
      </c>
      <c r="G145" s="12" t="s">
        <v>505</v>
      </c>
      <c r="H145" s="11" t="s">
        <v>1131</v>
      </c>
      <c r="I145" s="11" t="s">
        <v>1131</v>
      </c>
      <c r="J145" s="12" t="s">
        <v>1090</v>
      </c>
      <c r="K145" s="8" t="s">
        <v>1084</v>
      </c>
      <c r="L145" s="8" t="s">
        <v>185</v>
      </c>
      <c r="M145" s="28">
        <v>23.049071999999999</v>
      </c>
      <c r="N145" s="28">
        <v>-81.581620999999998</v>
      </c>
      <c r="O145" s="15"/>
      <c r="P145" s="15"/>
    </row>
    <row r="146" spans="2:16" ht="30">
      <c r="B146" s="8">
        <v>2794</v>
      </c>
      <c r="C146" s="11">
        <v>24013565</v>
      </c>
      <c r="D146" s="10">
        <v>25.9</v>
      </c>
      <c r="E146" s="13">
        <v>2083.8000000000002</v>
      </c>
      <c r="F146" s="8">
        <v>86100310022</v>
      </c>
      <c r="G146" s="12" t="s">
        <v>195</v>
      </c>
      <c r="H146" s="11" t="s">
        <v>1295</v>
      </c>
      <c r="I146" s="11" t="s">
        <v>1295</v>
      </c>
      <c r="J146" s="12" t="s">
        <v>1089</v>
      </c>
      <c r="K146" s="8" t="s">
        <v>1086</v>
      </c>
      <c r="L146" s="8" t="s">
        <v>185</v>
      </c>
      <c r="M146" s="28">
        <v>22.903486000000001</v>
      </c>
      <c r="N146" s="28">
        <v>-81.036161000000007</v>
      </c>
      <c r="O146" s="15"/>
      <c r="P146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C01B-4C06-41BF-8C13-5E6BFB0E1914}">
  <dimension ref="B1:O102"/>
  <sheetViews>
    <sheetView workbookViewId="0">
      <selection activeCell="E7" sqref="E7"/>
    </sheetView>
  </sheetViews>
  <sheetFormatPr baseColWidth="10" defaultRowHeight="14.25"/>
  <cols>
    <col min="6" max="6" width="14.75" customWidth="1"/>
    <col min="7" max="7" width="44.25" customWidth="1"/>
    <col min="8" max="8" width="15.5" customWidth="1"/>
    <col min="9" max="9" width="14.5" customWidth="1"/>
    <col min="10" max="10" width="51.875" customWidth="1"/>
  </cols>
  <sheetData>
    <row r="1" spans="2:15" ht="15" thickBot="1"/>
    <row r="2" spans="2:15" ht="32.25" thickBot="1">
      <c r="B2" s="21" t="s">
        <v>269</v>
      </c>
      <c r="C2" s="22" t="s">
        <v>266</v>
      </c>
      <c r="D2" s="22" t="s">
        <v>264</v>
      </c>
      <c r="E2" s="22" t="s">
        <v>1104</v>
      </c>
      <c r="F2" s="22" t="s">
        <v>258</v>
      </c>
      <c r="G2" s="22" t="s">
        <v>259</v>
      </c>
      <c r="H2" s="22" t="s">
        <v>268</v>
      </c>
      <c r="I2" s="22" t="s">
        <v>267</v>
      </c>
      <c r="J2" s="22" t="s">
        <v>257</v>
      </c>
      <c r="K2" s="22" t="s">
        <v>1678</v>
      </c>
      <c r="L2" s="23" t="s">
        <v>1679</v>
      </c>
      <c r="M2" s="26" t="s">
        <v>1196</v>
      </c>
      <c r="N2" s="27" t="s">
        <v>1197</v>
      </c>
      <c r="O2" s="27" t="s">
        <v>1677</v>
      </c>
    </row>
    <row r="3" spans="2:15" ht="30">
      <c r="B3" s="16">
        <v>2783</v>
      </c>
      <c r="C3" s="16">
        <v>24013330</v>
      </c>
      <c r="D3" s="18">
        <v>21.6</v>
      </c>
      <c r="E3" s="13">
        <v>1705.8</v>
      </c>
      <c r="F3" s="16">
        <v>63072920718</v>
      </c>
      <c r="G3" s="17" t="s">
        <v>1108</v>
      </c>
      <c r="H3" s="19" t="s">
        <v>1129</v>
      </c>
      <c r="I3" s="19" t="s">
        <v>1129</v>
      </c>
      <c r="J3" s="17" t="s">
        <v>854</v>
      </c>
      <c r="K3" s="16" t="s">
        <v>850</v>
      </c>
      <c r="L3" s="16" t="s">
        <v>31</v>
      </c>
      <c r="M3" s="28">
        <v>22.820765999999999</v>
      </c>
      <c r="N3" s="28">
        <v>-82.754622999999995</v>
      </c>
      <c r="O3" s="20"/>
    </row>
    <row r="4" spans="2:15" ht="30">
      <c r="B4" s="8">
        <v>2783</v>
      </c>
      <c r="C4" s="8">
        <v>24013331</v>
      </c>
      <c r="D4" s="10">
        <v>15.8</v>
      </c>
      <c r="E4" s="13">
        <v>1199.7</v>
      </c>
      <c r="F4" s="8">
        <v>63072920718</v>
      </c>
      <c r="G4" s="12" t="s">
        <v>1108</v>
      </c>
      <c r="H4" s="11" t="s">
        <v>1129</v>
      </c>
      <c r="I4" s="11" t="s">
        <v>1129</v>
      </c>
      <c r="J4" s="12" t="s">
        <v>854</v>
      </c>
      <c r="K4" s="8" t="s">
        <v>850</v>
      </c>
      <c r="L4" s="8" t="s">
        <v>31</v>
      </c>
      <c r="M4" s="28">
        <v>22.820765999999999</v>
      </c>
      <c r="N4" s="28">
        <v>-82.754622999999995</v>
      </c>
      <c r="O4" s="15"/>
    </row>
    <row r="5" spans="2:15" ht="45">
      <c r="B5" s="8">
        <v>2783</v>
      </c>
      <c r="C5" s="8">
        <v>24013372</v>
      </c>
      <c r="D5" s="10">
        <v>21.1</v>
      </c>
      <c r="E5" s="13">
        <v>1781.4</v>
      </c>
      <c r="F5" s="8">
        <v>66061808633</v>
      </c>
      <c r="G5" s="12" t="s">
        <v>745</v>
      </c>
      <c r="H5" s="11" t="s">
        <v>1165</v>
      </c>
      <c r="I5" s="11" t="s">
        <v>1165</v>
      </c>
      <c r="J5" s="12" t="s">
        <v>862</v>
      </c>
      <c r="K5" s="8" t="s">
        <v>861</v>
      </c>
      <c r="L5" s="8" t="s">
        <v>835</v>
      </c>
      <c r="M5" s="28">
        <v>21.844382</v>
      </c>
      <c r="N5" s="28">
        <v>-78.752646999999996</v>
      </c>
      <c r="O5" s="15"/>
    </row>
    <row r="6" spans="2:15" ht="30">
      <c r="B6" s="8">
        <v>2783</v>
      </c>
      <c r="C6" s="8">
        <v>24013311</v>
      </c>
      <c r="D6" s="10">
        <v>21.2</v>
      </c>
      <c r="E6" s="13">
        <v>1199.7</v>
      </c>
      <c r="F6" s="8">
        <v>81090810074</v>
      </c>
      <c r="G6" s="12" t="s">
        <v>603</v>
      </c>
      <c r="H6" s="11" t="s">
        <v>1115</v>
      </c>
      <c r="I6" s="11" t="s">
        <v>1115</v>
      </c>
      <c r="J6" s="12" t="s">
        <v>1683</v>
      </c>
      <c r="K6" s="8" t="s">
        <v>863</v>
      </c>
      <c r="L6" s="8" t="s">
        <v>63</v>
      </c>
      <c r="M6" s="28">
        <v>22.153859000000001</v>
      </c>
      <c r="N6" s="28">
        <v>-80.428938000000002</v>
      </c>
      <c r="O6" s="15"/>
    </row>
    <row r="7" spans="2:15" ht="30">
      <c r="B7" s="8">
        <v>2783</v>
      </c>
      <c r="C7" s="8">
        <v>24013310</v>
      </c>
      <c r="D7" s="10">
        <v>26.8</v>
      </c>
      <c r="E7" s="13">
        <v>2083.8000000000002</v>
      </c>
      <c r="F7" s="8">
        <v>76041518428</v>
      </c>
      <c r="G7" s="12" t="s">
        <v>1107</v>
      </c>
      <c r="H7" s="11" t="s">
        <v>1113</v>
      </c>
      <c r="I7" s="11" t="s">
        <v>1114</v>
      </c>
      <c r="J7" s="12" t="s">
        <v>1201</v>
      </c>
      <c r="K7" s="8" t="s">
        <v>867</v>
      </c>
      <c r="L7" s="8" t="s">
        <v>358</v>
      </c>
      <c r="M7" s="28">
        <v>21.369592999999998</v>
      </c>
      <c r="N7" s="28">
        <v>-77.920025999999993</v>
      </c>
      <c r="O7" s="15"/>
    </row>
    <row r="8" spans="2:15" ht="30">
      <c r="B8" s="8">
        <v>2783</v>
      </c>
      <c r="C8" s="8">
        <v>24013416</v>
      </c>
      <c r="D8" s="10">
        <v>1.5</v>
      </c>
      <c r="E8" s="13">
        <v>295</v>
      </c>
      <c r="F8" s="8">
        <v>64071008130</v>
      </c>
      <c r="G8" s="12" t="s">
        <v>810</v>
      </c>
      <c r="H8" s="11" t="s">
        <v>1188</v>
      </c>
      <c r="I8" s="11" t="s">
        <v>1188</v>
      </c>
      <c r="J8" s="12" t="s">
        <v>1105</v>
      </c>
      <c r="K8" s="8" t="s">
        <v>867</v>
      </c>
      <c r="L8" s="8" t="s">
        <v>358</v>
      </c>
      <c r="M8" s="28">
        <v>21.370677000000001</v>
      </c>
      <c r="N8" s="28">
        <v>-77.902994000000007</v>
      </c>
      <c r="O8" s="15"/>
    </row>
    <row r="9" spans="2:15" ht="30">
      <c r="B9" s="8">
        <v>2783</v>
      </c>
      <c r="C9" s="8">
        <v>24013340</v>
      </c>
      <c r="D9" s="10">
        <v>40</v>
      </c>
      <c r="E9" s="13">
        <v>3709.2</v>
      </c>
      <c r="F9" s="8">
        <v>81042115242</v>
      </c>
      <c r="G9" s="12" t="s">
        <v>658</v>
      </c>
      <c r="H9" s="11" t="s">
        <v>1135</v>
      </c>
      <c r="I9" s="11" t="s">
        <v>1135</v>
      </c>
      <c r="J9" s="12" t="s">
        <v>930</v>
      </c>
      <c r="K9" s="8" t="s">
        <v>915</v>
      </c>
      <c r="L9" s="8" t="s">
        <v>931</v>
      </c>
      <c r="M9" s="28">
        <v>20.375623999999998</v>
      </c>
      <c r="N9" s="28">
        <v>-76.645796000000004</v>
      </c>
      <c r="O9" s="15"/>
    </row>
    <row r="10" spans="2:15" ht="30">
      <c r="B10" s="8">
        <v>2783</v>
      </c>
      <c r="C10" s="8">
        <v>24013384</v>
      </c>
      <c r="D10" s="10">
        <v>12.4</v>
      </c>
      <c r="E10" s="13">
        <v>1026.45</v>
      </c>
      <c r="F10" s="8">
        <v>76033132234</v>
      </c>
      <c r="G10" s="12" t="s">
        <v>771</v>
      </c>
      <c r="H10" s="11" t="s">
        <v>1174</v>
      </c>
      <c r="I10" s="11" t="s">
        <v>1174</v>
      </c>
      <c r="J10" s="12" t="s">
        <v>940</v>
      </c>
      <c r="K10" s="8" t="s">
        <v>915</v>
      </c>
      <c r="L10" s="8" t="s">
        <v>931</v>
      </c>
      <c r="M10" s="28">
        <v>20.365473000000001</v>
      </c>
      <c r="N10" s="28">
        <v>-76.639556999999996</v>
      </c>
      <c r="O10" s="15"/>
    </row>
    <row r="11" spans="2:15" ht="30">
      <c r="B11" s="8">
        <v>2783</v>
      </c>
      <c r="C11" s="8">
        <v>24013388</v>
      </c>
      <c r="D11" s="10">
        <v>26</v>
      </c>
      <c r="E11" s="13">
        <v>2046</v>
      </c>
      <c r="F11" s="8">
        <v>66030408078</v>
      </c>
      <c r="G11" s="12" t="s">
        <v>783</v>
      </c>
      <c r="H11" s="11" t="s">
        <v>1178</v>
      </c>
      <c r="I11" s="11" t="s">
        <v>1178</v>
      </c>
      <c r="J11" s="12" t="s">
        <v>942</v>
      </c>
      <c r="K11" s="8" t="s">
        <v>915</v>
      </c>
      <c r="L11" s="8" t="s">
        <v>931</v>
      </c>
      <c r="M11" s="28">
        <v>20.365067</v>
      </c>
      <c r="N11" s="28">
        <v>-76.637073999999998</v>
      </c>
      <c r="O11" s="15"/>
    </row>
    <row r="12" spans="2:15" ht="30">
      <c r="B12" s="8">
        <v>2783</v>
      </c>
      <c r="C12" s="8">
        <v>24013389</v>
      </c>
      <c r="D12" s="10">
        <v>18.7</v>
      </c>
      <c r="E12" s="13">
        <v>1480.05</v>
      </c>
      <c r="F12" s="8">
        <v>81042115242</v>
      </c>
      <c r="G12" s="12" t="s">
        <v>658</v>
      </c>
      <c r="H12" s="11" t="s">
        <v>1135</v>
      </c>
      <c r="I12" s="11" t="s">
        <v>1135</v>
      </c>
      <c r="J12" s="12" t="s">
        <v>930</v>
      </c>
      <c r="K12" s="8" t="s">
        <v>915</v>
      </c>
      <c r="L12" s="8" t="s">
        <v>931</v>
      </c>
      <c r="M12" s="28">
        <v>20.375623999999998</v>
      </c>
      <c r="N12" s="28">
        <v>-76.645796000000004</v>
      </c>
      <c r="O12" s="15"/>
    </row>
    <row r="13" spans="2:15" ht="30">
      <c r="B13" s="8">
        <v>2783</v>
      </c>
      <c r="C13" s="8">
        <v>24013421</v>
      </c>
      <c r="D13" s="10">
        <v>10.86</v>
      </c>
      <c r="E13" s="13">
        <v>897.3</v>
      </c>
      <c r="F13" s="8">
        <v>92071646277</v>
      </c>
      <c r="G13" s="12" t="s">
        <v>826</v>
      </c>
      <c r="H13" s="11" t="s">
        <v>1192</v>
      </c>
      <c r="I13" s="11" t="s">
        <v>1192</v>
      </c>
      <c r="J13" s="12" t="s">
        <v>945</v>
      </c>
      <c r="K13" s="8" t="s">
        <v>915</v>
      </c>
      <c r="L13" s="8" t="s">
        <v>931</v>
      </c>
      <c r="M13" s="28">
        <v>20.382175</v>
      </c>
      <c r="N13" s="28">
        <v>-76.637478999999999</v>
      </c>
      <c r="O13" s="15"/>
    </row>
    <row r="14" spans="2:15" ht="30">
      <c r="B14" s="8">
        <v>2783</v>
      </c>
      <c r="C14" s="8">
        <v>24013367</v>
      </c>
      <c r="D14" s="10">
        <v>13.6</v>
      </c>
      <c r="E14" s="13">
        <v>1048.5</v>
      </c>
      <c r="F14" s="8">
        <v>74051813571</v>
      </c>
      <c r="G14" s="12" t="s">
        <v>730</v>
      </c>
      <c r="H14" s="11" t="s">
        <v>1160</v>
      </c>
      <c r="I14" s="11" t="s">
        <v>1160</v>
      </c>
      <c r="J14" s="12" t="s">
        <v>1524</v>
      </c>
      <c r="K14" s="8" t="s">
        <v>919</v>
      </c>
      <c r="L14" s="8" t="s">
        <v>931</v>
      </c>
      <c r="M14" s="28">
        <v>20.339673999999999</v>
      </c>
      <c r="N14" s="28">
        <v>-77.140970999999993</v>
      </c>
      <c r="O14" s="15"/>
    </row>
    <row r="15" spans="2:15" ht="30">
      <c r="B15" s="8">
        <v>2783</v>
      </c>
      <c r="C15" s="8">
        <v>24013361</v>
      </c>
      <c r="D15" s="10">
        <v>12.9</v>
      </c>
      <c r="E15" s="13">
        <v>1048.5</v>
      </c>
      <c r="F15" s="8">
        <v>85030427948</v>
      </c>
      <c r="G15" s="12" t="s">
        <v>712</v>
      </c>
      <c r="H15" s="11" t="s">
        <v>1154</v>
      </c>
      <c r="I15" s="11" t="s">
        <v>1154</v>
      </c>
      <c r="J15" s="12" t="s">
        <v>1009</v>
      </c>
      <c r="K15" s="8" t="s">
        <v>998</v>
      </c>
      <c r="L15" s="8" t="s">
        <v>1012</v>
      </c>
      <c r="M15" s="28">
        <v>19.989087000000001</v>
      </c>
      <c r="N15" s="28">
        <v>-75.153880999999998</v>
      </c>
      <c r="O15" s="15"/>
    </row>
    <row r="16" spans="2:15" ht="30">
      <c r="B16" s="8">
        <v>2783</v>
      </c>
      <c r="C16" s="8">
        <v>24013342</v>
      </c>
      <c r="D16" s="10">
        <v>5.7</v>
      </c>
      <c r="E16" s="13">
        <v>295</v>
      </c>
      <c r="F16" s="8">
        <v>75090212711</v>
      </c>
      <c r="G16" s="12" t="s">
        <v>664</v>
      </c>
      <c r="H16" s="11" t="s">
        <v>1137</v>
      </c>
      <c r="I16" s="11" t="s">
        <v>1137</v>
      </c>
      <c r="J16" s="12" t="s">
        <v>1007</v>
      </c>
      <c r="K16" s="8" t="s">
        <v>997</v>
      </c>
      <c r="L16" s="8" t="s">
        <v>1012</v>
      </c>
      <c r="M16" s="28">
        <v>20.152187000000001</v>
      </c>
      <c r="N16" s="28">
        <v>-75.195053999999999</v>
      </c>
      <c r="O16" s="15"/>
    </row>
    <row r="17" spans="2:15" ht="30">
      <c r="B17" s="8">
        <v>2783</v>
      </c>
      <c r="C17" s="8">
        <v>24013350</v>
      </c>
      <c r="D17" s="10">
        <v>24.6</v>
      </c>
      <c r="E17" s="13">
        <v>2159.4</v>
      </c>
      <c r="F17" s="8">
        <v>66111310932</v>
      </c>
      <c r="G17" s="12" t="s">
        <v>683</v>
      </c>
      <c r="H17" s="11" t="s">
        <v>1143</v>
      </c>
      <c r="I17" s="11" t="s">
        <v>1143</v>
      </c>
      <c r="J17" s="12" t="s">
        <v>1008</v>
      </c>
      <c r="K17" s="8" t="s">
        <v>997</v>
      </c>
      <c r="L17" s="8" t="s">
        <v>1012</v>
      </c>
      <c r="M17" s="28">
        <v>20.144341000000001</v>
      </c>
      <c r="N17" s="28">
        <v>-75.204724999999996</v>
      </c>
      <c r="O17" s="15"/>
    </row>
    <row r="18" spans="2:15" ht="30">
      <c r="B18" s="8">
        <v>2783</v>
      </c>
      <c r="C18" s="8">
        <v>24013362</v>
      </c>
      <c r="D18" s="10">
        <v>15.2</v>
      </c>
      <c r="E18" s="13">
        <v>1350.9</v>
      </c>
      <c r="F18" s="8">
        <v>66060800111</v>
      </c>
      <c r="G18" s="12" t="s">
        <v>715</v>
      </c>
      <c r="H18" s="11" t="s">
        <v>1155</v>
      </c>
      <c r="I18" s="11" t="s">
        <v>1155</v>
      </c>
      <c r="J18" s="12" t="s">
        <v>1010</v>
      </c>
      <c r="K18" s="8" t="s">
        <v>997</v>
      </c>
      <c r="L18" s="8" t="s">
        <v>1012</v>
      </c>
      <c r="M18" s="28">
        <v>20.125610999999999</v>
      </c>
      <c r="N18" s="28">
        <v>-75.218005000000005</v>
      </c>
      <c r="O18" s="15"/>
    </row>
    <row r="19" spans="2:15" ht="30">
      <c r="B19" s="8">
        <v>2783</v>
      </c>
      <c r="C19" s="8">
        <v>24013369</v>
      </c>
      <c r="D19" s="10">
        <v>10.7</v>
      </c>
      <c r="E19" s="13">
        <v>867.9</v>
      </c>
      <c r="F19" s="8">
        <v>56030808490</v>
      </c>
      <c r="G19" s="12" t="s">
        <v>736</v>
      </c>
      <c r="H19" s="11" t="s">
        <v>1162</v>
      </c>
      <c r="I19" s="11" t="s">
        <v>1162</v>
      </c>
      <c r="J19" s="12" t="s">
        <v>1011</v>
      </c>
      <c r="K19" s="8" t="s">
        <v>997</v>
      </c>
      <c r="L19" s="8" t="s">
        <v>1012</v>
      </c>
      <c r="M19" s="28">
        <v>20.152798000000001</v>
      </c>
      <c r="N19" s="28">
        <v>-75.210156999999995</v>
      </c>
      <c r="O19" s="15"/>
    </row>
    <row r="20" spans="2:15" ht="30">
      <c r="B20" s="8">
        <v>2783</v>
      </c>
      <c r="C20" s="8">
        <v>24013320</v>
      </c>
      <c r="D20" s="10">
        <v>17.100000000000001</v>
      </c>
      <c r="E20" s="13">
        <v>1577.7</v>
      </c>
      <c r="F20" s="8">
        <v>62123007086</v>
      </c>
      <c r="G20" s="12" t="s">
        <v>627</v>
      </c>
      <c r="H20" s="11" t="s">
        <v>1124</v>
      </c>
      <c r="I20" s="11" t="s">
        <v>1124</v>
      </c>
      <c r="J20" s="12" t="s">
        <v>877</v>
      </c>
      <c r="K20" s="8" t="s">
        <v>839</v>
      </c>
      <c r="L20" s="8" t="s">
        <v>104</v>
      </c>
      <c r="M20" s="28">
        <v>23.065225999999999</v>
      </c>
      <c r="N20" s="28">
        <v>-82.387797000000006</v>
      </c>
      <c r="O20" s="15"/>
    </row>
    <row r="21" spans="2:15" ht="30">
      <c r="B21" s="8">
        <v>2783</v>
      </c>
      <c r="C21" s="8">
        <v>24013321</v>
      </c>
      <c r="D21" s="10">
        <v>17</v>
      </c>
      <c r="E21" s="13">
        <v>1577.7</v>
      </c>
      <c r="F21" s="8">
        <v>62123007086</v>
      </c>
      <c r="G21" s="12" t="s">
        <v>627</v>
      </c>
      <c r="H21" s="11" t="s">
        <v>1124</v>
      </c>
      <c r="I21" s="11" t="s">
        <v>1124</v>
      </c>
      <c r="J21" s="12" t="s">
        <v>877</v>
      </c>
      <c r="K21" s="8" t="s">
        <v>839</v>
      </c>
      <c r="L21" s="8" t="s">
        <v>104</v>
      </c>
      <c r="M21" s="28">
        <v>23.065225999999999</v>
      </c>
      <c r="N21" s="28">
        <v>-82.387797000000006</v>
      </c>
      <c r="O21" s="15"/>
    </row>
    <row r="22" spans="2:15" ht="30">
      <c r="B22" s="8">
        <v>2783</v>
      </c>
      <c r="C22" s="8">
        <v>24013323</v>
      </c>
      <c r="D22" s="10">
        <v>15.5</v>
      </c>
      <c r="E22" s="13">
        <v>1199.7</v>
      </c>
      <c r="F22" s="8">
        <v>82060321824</v>
      </c>
      <c r="G22" s="12" t="s">
        <v>631</v>
      </c>
      <c r="H22" s="11" t="s">
        <v>1126</v>
      </c>
      <c r="I22" s="11" t="s">
        <v>1126</v>
      </c>
      <c r="J22" s="12" t="s">
        <v>875</v>
      </c>
      <c r="K22" s="8" t="s">
        <v>839</v>
      </c>
      <c r="L22" s="8" t="s">
        <v>104</v>
      </c>
      <c r="M22" s="28">
        <v>23.001280000000001</v>
      </c>
      <c r="N22" s="28">
        <v>-82.383795000000006</v>
      </c>
      <c r="O22" s="15"/>
    </row>
    <row r="23" spans="2:15" ht="30">
      <c r="B23" s="8">
        <v>2783</v>
      </c>
      <c r="C23" s="8">
        <v>24013324</v>
      </c>
      <c r="D23" s="10">
        <v>12.7</v>
      </c>
      <c r="E23" s="13">
        <v>972.9</v>
      </c>
      <c r="F23" s="8">
        <v>82060321824</v>
      </c>
      <c r="G23" s="12" t="s">
        <v>631</v>
      </c>
      <c r="H23" s="11" t="s">
        <v>1126</v>
      </c>
      <c r="I23" s="11" t="s">
        <v>1126</v>
      </c>
      <c r="J23" s="12" t="s">
        <v>875</v>
      </c>
      <c r="K23" s="8" t="s">
        <v>839</v>
      </c>
      <c r="L23" s="8" t="s">
        <v>104</v>
      </c>
      <c r="M23" s="28">
        <v>23.001280000000001</v>
      </c>
      <c r="N23" s="28">
        <v>-82.383795000000006</v>
      </c>
      <c r="O23" s="15"/>
    </row>
    <row r="24" spans="2:15" ht="30">
      <c r="B24" s="8">
        <v>2783</v>
      </c>
      <c r="C24" s="8">
        <v>24013341</v>
      </c>
      <c r="D24" s="10">
        <v>19.2</v>
      </c>
      <c r="E24" s="13">
        <v>1502.1</v>
      </c>
      <c r="F24" s="8">
        <v>94101929719</v>
      </c>
      <c r="G24" s="12" t="s">
        <v>661</v>
      </c>
      <c r="H24" s="11" t="s">
        <v>1136</v>
      </c>
      <c r="I24" s="11" t="s">
        <v>1136</v>
      </c>
      <c r="J24" s="12" t="s">
        <v>874</v>
      </c>
      <c r="K24" s="8" t="s">
        <v>839</v>
      </c>
      <c r="L24" s="8" t="s">
        <v>104</v>
      </c>
      <c r="M24" s="28">
        <v>22.977544000000002</v>
      </c>
      <c r="N24" s="28">
        <v>-82.375844999999998</v>
      </c>
      <c r="O24" s="15"/>
    </row>
    <row r="25" spans="2:15" ht="30">
      <c r="B25" s="8">
        <v>2783</v>
      </c>
      <c r="C25" s="8">
        <v>24013377</v>
      </c>
      <c r="D25" s="10">
        <v>17.899999999999999</v>
      </c>
      <c r="E25" s="13">
        <v>1397.1</v>
      </c>
      <c r="F25" s="8">
        <v>64101228135</v>
      </c>
      <c r="G25" s="12" t="s">
        <v>756</v>
      </c>
      <c r="H25" s="11" t="s">
        <v>1168</v>
      </c>
      <c r="I25" s="11" t="s">
        <v>1168</v>
      </c>
      <c r="J25" s="12" t="s">
        <v>880</v>
      </c>
      <c r="K25" s="8" t="s">
        <v>842</v>
      </c>
      <c r="L25" s="8" t="s">
        <v>104</v>
      </c>
      <c r="M25" s="28">
        <v>23.136191</v>
      </c>
      <c r="N25" s="28">
        <v>-82.368228999999999</v>
      </c>
      <c r="O25" s="15"/>
    </row>
    <row r="26" spans="2:15" ht="30">
      <c r="B26" s="8">
        <v>2783</v>
      </c>
      <c r="C26" s="8">
        <v>24013380</v>
      </c>
      <c r="D26" s="10">
        <v>24.3</v>
      </c>
      <c r="E26" s="13">
        <v>2008.2</v>
      </c>
      <c r="F26" s="8">
        <v>93090631612</v>
      </c>
      <c r="G26" s="12" t="s">
        <v>763</v>
      </c>
      <c r="H26" s="11" t="s">
        <v>1171</v>
      </c>
      <c r="I26" s="11" t="s">
        <v>1171</v>
      </c>
      <c r="J26" s="12" t="s">
        <v>879</v>
      </c>
      <c r="K26" s="8" t="s">
        <v>842</v>
      </c>
      <c r="L26" s="8" t="s">
        <v>104</v>
      </c>
      <c r="M26" s="28">
        <v>23.133023000000001</v>
      </c>
      <c r="N26" s="28">
        <v>-82.370863999999997</v>
      </c>
      <c r="O26" s="15"/>
    </row>
    <row r="27" spans="2:15" ht="30">
      <c r="B27" s="8">
        <v>2783</v>
      </c>
      <c r="C27" s="8">
        <v>24013422</v>
      </c>
      <c r="D27" s="10">
        <v>8.24</v>
      </c>
      <c r="E27" s="13">
        <v>670.5</v>
      </c>
      <c r="F27" s="8">
        <v>70020614948</v>
      </c>
      <c r="G27" s="12" t="s">
        <v>830</v>
      </c>
      <c r="H27" s="11" t="s">
        <v>1193</v>
      </c>
      <c r="I27" s="11" t="s">
        <v>1194</v>
      </c>
      <c r="J27" s="12" t="s">
        <v>882</v>
      </c>
      <c r="K27" s="8" t="s">
        <v>845</v>
      </c>
      <c r="L27" s="8" t="s">
        <v>104</v>
      </c>
      <c r="M27" s="28">
        <v>23.122108000000001</v>
      </c>
      <c r="N27" s="28">
        <v>-82.380523999999994</v>
      </c>
      <c r="O27" s="15"/>
    </row>
    <row r="28" spans="2:15" ht="30">
      <c r="B28" s="8">
        <v>2783</v>
      </c>
      <c r="C28" s="8">
        <v>24013315</v>
      </c>
      <c r="D28" s="10">
        <v>19.3</v>
      </c>
      <c r="E28" s="13">
        <v>1350.9</v>
      </c>
      <c r="F28" s="8">
        <v>84011326760</v>
      </c>
      <c r="G28" s="12" t="s">
        <v>614</v>
      </c>
      <c r="H28" s="11" t="s">
        <v>1120</v>
      </c>
      <c r="I28" s="11" t="s">
        <v>1120</v>
      </c>
      <c r="J28" s="12" t="s">
        <v>884</v>
      </c>
      <c r="K28" s="8" t="s">
        <v>838</v>
      </c>
      <c r="L28" s="8" t="s">
        <v>104</v>
      </c>
      <c r="M28" s="28">
        <v>23.097743000000001</v>
      </c>
      <c r="N28" s="28">
        <v>-82.371129999999994</v>
      </c>
      <c r="O28" s="15"/>
    </row>
    <row r="29" spans="2:15" ht="30">
      <c r="B29" s="8">
        <v>2783</v>
      </c>
      <c r="C29" s="8">
        <v>24013316</v>
      </c>
      <c r="D29" s="10">
        <v>18.8</v>
      </c>
      <c r="E29" s="13">
        <v>1426.5</v>
      </c>
      <c r="F29" s="8">
        <v>84011326760</v>
      </c>
      <c r="G29" s="12" t="s">
        <v>614</v>
      </c>
      <c r="H29" s="11" t="s">
        <v>1120</v>
      </c>
      <c r="I29" s="11" t="s">
        <v>1120</v>
      </c>
      <c r="J29" s="12" t="s">
        <v>884</v>
      </c>
      <c r="K29" s="8" t="s">
        <v>838</v>
      </c>
      <c r="L29" s="8" t="s">
        <v>104</v>
      </c>
      <c r="M29" s="28">
        <v>23.097743000000001</v>
      </c>
      <c r="N29" s="28">
        <v>-82.371129999999994</v>
      </c>
      <c r="O29" s="15"/>
    </row>
    <row r="30" spans="2:15" ht="30">
      <c r="B30" s="8">
        <v>2783</v>
      </c>
      <c r="C30" s="8">
        <v>24013413</v>
      </c>
      <c r="D30" s="10">
        <v>17.7</v>
      </c>
      <c r="E30" s="13">
        <v>1350.9</v>
      </c>
      <c r="F30" s="8">
        <v>96021008768</v>
      </c>
      <c r="G30" s="12" t="s">
        <v>802</v>
      </c>
      <c r="H30" s="11" t="s">
        <v>1184</v>
      </c>
      <c r="I30" s="11" t="s">
        <v>1185</v>
      </c>
      <c r="J30" s="12" t="s">
        <v>902</v>
      </c>
      <c r="K30" s="8" t="s">
        <v>844</v>
      </c>
      <c r="L30" s="8" t="s">
        <v>104</v>
      </c>
      <c r="M30" s="28">
        <v>23.125284000000001</v>
      </c>
      <c r="N30" s="28">
        <v>-82.300222000000005</v>
      </c>
      <c r="O30" s="15"/>
    </row>
    <row r="31" spans="2:15" ht="30">
      <c r="B31" s="8">
        <v>2783</v>
      </c>
      <c r="C31" s="8">
        <v>24013414</v>
      </c>
      <c r="D31" s="10">
        <v>14.5</v>
      </c>
      <c r="E31" s="13">
        <v>295</v>
      </c>
      <c r="F31" s="8">
        <v>70011901582</v>
      </c>
      <c r="G31" s="12" t="s">
        <v>805</v>
      </c>
      <c r="H31" s="11" t="s">
        <v>1186</v>
      </c>
      <c r="I31" s="11" t="s">
        <v>1186</v>
      </c>
      <c r="J31" s="12" t="s">
        <v>901</v>
      </c>
      <c r="K31" s="8" t="s">
        <v>844</v>
      </c>
      <c r="L31" s="8" t="s">
        <v>104</v>
      </c>
      <c r="M31" s="28">
        <v>23.124866999999998</v>
      </c>
      <c r="N31" s="28">
        <v>-82.297515000000004</v>
      </c>
      <c r="O31" s="15"/>
    </row>
    <row r="32" spans="2:15" ht="15">
      <c r="B32" s="8">
        <v>2783</v>
      </c>
      <c r="C32" s="8">
        <v>24013307</v>
      </c>
      <c r="D32" s="10">
        <v>4.3</v>
      </c>
      <c r="E32" s="13">
        <v>2386.1999999999998</v>
      </c>
      <c r="F32" s="8">
        <v>95040930501</v>
      </c>
      <c r="G32" s="12" t="s">
        <v>140</v>
      </c>
      <c r="H32" s="11" t="s">
        <v>1109</v>
      </c>
      <c r="I32" s="11" t="s">
        <v>1110</v>
      </c>
      <c r="J32" s="12" t="s">
        <v>848</v>
      </c>
      <c r="K32" s="8" t="s">
        <v>836</v>
      </c>
      <c r="L32" s="8" t="s">
        <v>104</v>
      </c>
      <c r="M32" s="28">
        <v>23.056421</v>
      </c>
      <c r="N32" s="28">
        <v>-82.470249999999993</v>
      </c>
      <c r="O32" s="15"/>
    </row>
    <row r="33" spans="2:15" ht="30">
      <c r="B33" s="8">
        <v>2783</v>
      </c>
      <c r="C33" s="8">
        <v>24013391</v>
      </c>
      <c r="D33" s="10">
        <v>5</v>
      </c>
      <c r="E33" s="13">
        <v>443.7</v>
      </c>
      <c r="F33" s="8">
        <v>51091929335</v>
      </c>
      <c r="G33" s="12" t="s">
        <v>788</v>
      </c>
      <c r="H33" s="11" t="s">
        <v>1179</v>
      </c>
      <c r="I33" s="11" t="s">
        <v>1180</v>
      </c>
      <c r="J33" s="12" t="s">
        <v>910</v>
      </c>
      <c r="K33" s="8" t="s">
        <v>843</v>
      </c>
      <c r="L33" s="8" t="s">
        <v>104</v>
      </c>
      <c r="M33" s="28">
        <v>23.094083000000001</v>
      </c>
      <c r="N33" s="28">
        <v>-82.413880000000006</v>
      </c>
      <c r="O33" s="15"/>
    </row>
    <row r="34" spans="2:15" ht="30">
      <c r="B34" s="8">
        <v>2783</v>
      </c>
      <c r="C34" s="8">
        <v>24013392</v>
      </c>
      <c r="D34" s="10">
        <v>5</v>
      </c>
      <c r="E34" s="13">
        <v>295</v>
      </c>
      <c r="F34" s="8">
        <v>51091929335</v>
      </c>
      <c r="G34" s="12" t="s">
        <v>788</v>
      </c>
      <c r="H34" s="11" t="s">
        <v>1179</v>
      </c>
      <c r="I34" s="11" t="s">
        <v>1180</v>
      </c>
      <c r="J34" s="12" t="s">
        <v>910</v>
      </c>
      <c r="K34" s="8" t="s">
        <v>843</v>
      </c>
      <c r="L34" s="8" t="s">
        <v>104</v>
      </c>
      <c r="M34" s="28">
        <v>23.094083000000001</v>
      </c>
      <c r="N34" s="28">
        <v>-82.413880000000006</v>
      </c>
      <c r="O34" s="15"/>
    </row>
    <row r="35" spans="2:15" ht="30">
      <c r="B35" s="8">
        <v>2783</v>
      </c>
      <c r="C35" s="8">
        <v>24013312</v>
      </c>
      <c r="D35" s="10">
        <v>30.2</v>
      </c>
      <c r="E35" s="13">
        <v>3898.2</v>
      </c>
      <c r="F35" s="8">
        <v>64101932954</v>
      </c>
      <c r="G35" s="12" t="s">
        <v>166</v>
      </c>
      <c r="H35" s="11" t="s">
        <v>1116</v>
      </c>
      <c r="I35" s="11" t="s">
        <v>1117</v>
      </c>
      <c r="J35" s="12" t="s">
        <v>849</v>
      </c>
      <c r="K35" s="8" t="s">
        <v>837</v>
      </c>
      <c r="L35" s="8" t="s">
        <v>104</v>
      </c>
      <c r="M35" s="28">
        <v>23.090313999999999</v>
      </c>
      <c r="N35" s="28">
        <v>-82.455618999999999</v>
      </c>
      <c r="O35" s="15"/>
    </row>
    <row r="36" spans="2:15" ht="15">
      <c r="B36" s="8">
        <v>2783</v>
      </c>
      <c r="C36" s="8">
        <v>24013313</v>
      </c>
      <c r="D36" s="10">
        <v>8.65</v>
      </c>
      <c r="E36" s="13">
        <v>3142.2</v>
      </c>
      <c r="F36" s="8">
        <v>63090605154</v>
      </c>
      <c r="G36" s="12" t="s">
        <v>607</v>
      </c>
      <c r="H36" s="11" t="s">
        <v>1118</v>
      </c>
      <c r="I36" s="11" t="s">
        <v>1118</v>
      </c>
      <c r="J36" s="12" t="s">
        <v>898</v>
      </c>
      <c r="K36" s="8" t="s">
        <v>837</v>
      </c>
      <c r="L36" s="8" t="s">
        <v>104</v>
      </c>
      <c r="M36" s="28">
        <v>23.110424999999999</v>
      </c>
      <c r="N36" s="28">
        <v>-82.420255999999995</v>
      </c>
      <c r="O36" s="15"/>
    </row>
    <row r="37" spans="2:15" ht="15">
      <c r="B37" s="8">
        <v>2783</v>
      </c>
      <c r="C37" s="8">
        <v>24013343</v>
      </c>
      <c r="D37" s="10">
        <v>18.899999999999999</v>
      </c>
      <c r="E37" s="13">
        <v>1781.4</v>
      </c>
      <c r="F37" s="8">
        <v>76061403172</v>
      </c>
      <c r="G37" s="12" t="s">
        <v>667</v>
      </c>
      <c r="H37" s="11" t="s">
        <v>1138</v>
      </c>
      <c r="I37" s="11" t="s">
        <v>1138</v>
      </c>
      <c r="J37" s="12" t="s">
        <v>899</v>
      </c>
      <c r="K37" s="8" t="s">
        <v>837</v>
      </c>
      <c r="L37" s="8" t="s">
        <v>104</v>
      </c>
      <c r="M37" s="28">
        <v>21.399850900000001</v>
      </c>
      <c r="N37" s="28">
        <v>-77.893540999999999</v>
      </c>
      <c r="O37" s="15"/>
    </row>
    <row r="38" spans="2:15" ht="15">
      <c r="B38" s="8">
        <v>2783</v>
      </c>
      <c r="C38" s="8">
        <v>24013344</v>
      </c>
      <c r="D38" s="10">
        <v>10.6</v>
      </c>
      <c r="E38" s="13">
        <v>821.7</v>
      </c>
      <c r="F38" s="8">
        <v>98083008120</v>
      </c>
      <c r="G38" s="12" t="s">
        <v>670</v>
      </c>
      <c r="H38" s="11" t="s">
        <v>1139</v>
      </c>
      <c r="I38" s="11" t="s">
        <v>1139</v>
      </c>
      <c r="J38" s="12" t="s">
        <v>894</v>
      </c>
      <c r="K38" s="8" t="s">
        <v>837</v>
      </c>
      <c r="L38" s="8" t="s">
        <v>104</v>
      </c>
      <c r="M38" s="28">
        <v>23.103929999999998</v>
      </c>
      <c r="N38" s="28">
        <v>-82.417365000000004</v>
      </c>
      <c r="O38" s="15"/>
    </row>
    <row r="39" spans="2:15" ht="15">
      <c r="B39" s="8">
        <v>2783</v>
      </c>
      <c r="C39" s="8">
        <v>24013352</v>
      </c>
      <c r="D39" s="10">
        <v>30.4</v>
      </c>
      <c r="E39" s="13">
        <v>2386.1999999999998</v>
      </c>
      <c r="F39" s="8">
        <v>3040168170</v>
      </c>
      <c r="G39" s="12" t="s">
        <v>689</v>
      </c>
      <c r="H39" s="11" t="s">
        <v>1145</v>
      </c>
      <c r="I39" s="11" t="s">
        <v>1145</v>
      </c>
      <c r="J39" s="12" t="s">
        <v>896</v>
      </c>
      <c r="K39" s="8" t="s">
        <v>837</v>
      </c>
      <c r="L39" s="8" t="s">
        <v>104</v>
      </c>
      <c r="M39" s="28">
        <v>23.115801000000001</v>
      </c>
      <c r="N39" s="28">
        <v>-82.415150999999994</v>
      </c>
      <c r="O39" s="15"/>
    </row>
    <row r="40" spans="2:15" ht="15">
      <c r="B40" s="8">
        <v>2783</v>
      </c>
      <c r="C40" s="8">
        <v>24013353</v>
      </c>
      <c r="D40" s="10">
        <v>29.7</v>
      </c>
      <c r="E40" s="13">
        <v>2046</v>
      </c>
      <c r="F40" s="8">
        <v>47101711294</v>
      </c>
      <c r="G40" s="12" t="s">
        <v>692</v>
      </c>
      <c r="H40" s="11" t="s">
        <v>1146</v>
      </c>
      <c r="I40" s="11" t="s">
        <v>1146</v>
      </c>
      <c r="J40" s="12" t="s">
        <v>896</v>
      </c>
      <c r="K40" s="8" t="s">
        <v>837</v>
      </c>
      <c r="L40" s="8" t="s">
        <v>104</v>
      </c>
      <c r="M40" s="28">
        <v>23.115801000000001</v>
      </c>
      <c r="N40" s="28">
        <v>-82.415150999999994</v>
      </c>
      <c r="O40" s="15"/>
    </row>
    <row r="41" spans="2:15" ht="15">
      <c r="B41" s="8">
        <v>2783</v>
      </c>
      <c r="C41" s="8">
        <v>24013357</v>
      </c>
      <c r="D41" s="10">
        <v>14</v>
      </c>
      <c r="E41" s="13">
        <v>1124.0999999999999</v>
      </c>
      <c r="F41" s="8">
        <v>97092508552</v>
      </c>
      <c r="G41" s="12" t="s">
        <v>701</v>
      </c>
      <c r="H41" s="11" t="s">
        <v>1149</v>
      </c>
      <c r="I41" s="11" t="s">
        <v>1149</v>
      </c>
      <c r="J41" s="12" t="s">
        <v>895</v>
      </c>
      <c r="K41" s="8" t="s">
        <v>837</v>
      </c>
      <c r="L41" s="8" t="s">
        <v>104</v>
      </c>
      <c r="M41" s="28">
        <v>23.132183000000001</v>
      </c>
      <c r="N41" s="28">
        <v>-82.407086000000007</v>
      </c>
      <c r="O41" s="15"/>
    </row>
    <row r="42" spans="2:15" ht="60">
      <c r="B42" s="8">
        <v>2783</v>
      </c>
      <c r="C42" s="8">
        <v>24013348</v>
      </c>
      <c r="D42" s="10">
        <v>12.1</v>
      </c>
      <c r="E42" s="13">
        <v>295</v>
      </c>
      <c r="F42" s="8">
        <v>70062814102</v>
      </c>
      <c r="G42" s="12" t="s">
        <v>677</v>
      </c>
      <c r="H42" s="11" t="s">
        <v>1141</v>
      </c>
      <c r="I42" s="11" t="s">
        <v>1141</v>
      </c>
      <c r="J42" s="12" t="s">
        <v>889</v>
      </c>
      <c r="K42" s="8" t="s">
        <v>840</v>
      </c>
      <c r="L42" s="8" t="s">
        <v>104</v>
      </c>
      <c r="M42" s="28">
        <v>23.078330999999999</v>
      </c>
      <c r="N42" s="28">
        <v>-82.325205999999994</v>
      </c>
      <c r="O42" s="15"/>
    </row>
    <row r="43" spans="2:15" ht="30">
      <c r="B43" s="8">
        <v>2783</v>
      </c>
      <c r="C43" s="8">
        <v>24013359</v>
      </c>
      <c r="D43" s="10">
        <v>8.6</v>
      </c>
      <c r="E43" s="13">
        <v>670.5</v>
      </c>
      <c r="F43" s="8">
        <v>63121806629</v>
      </c>
      <c r="G43" s="12" t="s">
        <v>706</v>
      </c>
      <c r="H43" s="11" t="s">
        <v>1151</v>
      </c>
      <c r="I43" s="11" t="s">
        <v>1151</v>
      </c>
      <c r="J43" s="12" t="s">
        <v>934</v>
      </c>
      <c r="K43" s="8" t="s">
        <v>917</v>
      </c>
      <c r="L43" s="8" t="s">
        <v>69</v>
      </c>
      <c r="M43" s="28">
        <v>20.961397999999999</v>
      </c>
      <c r="N43" s="28">
        <v>-75.710521</v>
      </c>
      <c r="O43" s="15"/>
    </row>
    <row r="44" spans="2:15" ht="30">
      <c r="B44" s="8">
        <v>2783</v>
      </c>
      <c r="C44" s="8">
        <v>24013358</v>
      </c>
      <c r="D44" s="10">
        <v>15</v>
      </c>
      <c r="E44" s="13">
        <v>1199.7</v>
      </c>
      <c r="F44" s="8">
        <v>93082419072</v>
      </c>
      <c r="G44" s="12" t="s">
        <v>703</v>
      </c>
      <c r="H44" s="11" t="s">
        <v>1150</v>
      </c>
      <c r="I44" s="11" t="s">
        <v>1150</v>
      </c>
      <c r="J44" s="12" t="s">
        <v>933</v>
      </c>
      <c r="K44" s="8" t="s">
        <v>916</v>
      </c>
      <c r="L44" s="8" t="s">
        <v>69</v>
      </c>
      <c r="M44" s="28">
        <v>20.863493999999999</v>
      </c>
      <c r="N44" s="28">
        <v>-76.639484999999993</v>
      </c>
      <c r="O44" s="15"/>
    </row>
    <row r="45" spans="2:15" ht="30">
      <c r="B45" s="8">
        <v>2783</v>
      </c>
      <c r="C45" s="8">
        <v>24013378</v>
      </c>
      <c r="D45" s="10">
        <v>33.799999999999997</v>
      </c>
      <c r="E45" s="13">
        <v>443.7</v>
      </c>
      <c r="F45" s="8">
        <v>71050609972</v>
      </c>
      <c r="G45" s="12" t="s">
        <v>526</v>
      </c>
      <c r="H45" s="11" t="s">
        <v>1169</v>
      </c>
      <c r="I45" s="11" t="s">
        <v>1169</v>
      </c>
      <c r="J45" s="12" t="s">
        <v>939</v>
      </c>
      <c r="K45" s="8" t="s">
        <v>920</v>
      </c>
      <c r="L45" s="8" t="s">
        <v>69</v>
      </c>
      <c r="M45" s="28">
        <v>20.670024999999999</v>
      </c>
      <c r="N45" s="28">
        <v>-75.258142000000007</v>
      </c>
      <c r="O45" s="15"/>
    </row>
    <row r="46" spans="2:15" ht="30">
      <c r="B46" s="8">
        <v>2783</v>
      </c>
      <c r="C46" s="8">
        <v>24013308</v>
      </c>
      <c r="D46" s="10">
        <v>12.4</v>
      </c>
      <c r="E46" s="13">
        <v>972.9</v>
      </c>
      <c r="F46" s="8">
        <v>88011522186</v>
      </c>
      <c r="G46" s="12" t="s">
        <v>593</v>
      </c>
      <c r="H46" s="11" t="s">
        <v>1111</v>
      </c>
      <c r="I46" s="11" t="s">
        <v>1111</v>
      </c>
      <c r="J46" s="12" t="s">
        <v>926</v>
      </c>
      <c r="K46" s="8" t="s">
        <v>912</v>
      </c>
      <c r="L46" s="8" t="s">
        <v>69</v>
      </c>
      <c r="M46" s="28">
        <v>20.87378</v>
      </c>
      <c r="N46" s="28">
        <v>-76.256399000000002</v>
      </c>
      <c r="O46" s="15"/>
    </row>
    <row r="47" spans="2:15" ht="15">
      <c r="B47" s="8">
        <v>2783</v>
      </c>
      <c r="C47" s="8">
        <v>24013309</v>
      </c>
      <c r="D47" s="10">
        <v>5.6</v>
      </c>
      <c r="E47" s="13">
        <v>443.7</v>
      </c>
      <c r="F47" s="8">
        <v>65070809095</v>
      </c>
      <c r="G47" s="12" t="s">
        <v>597</v>
      </c>
      <c r="H47" s="11" t="s">
        <v>1112</v>
      </c>
      <c r="I47" s="11" t="s">
        <v>1112</v>
      </c>
      <c r="J47" s="12" t="s">
        <v>927</v>
      </c>
      <c r="K47" s="8" t="s">
        <v>912</v>
      </c>
      <c r="L47" s="8" t="s">
        <v>69</v>
      </c>
      <c r="M47" s="28">
        <v>20.876197000000001</v>
      </c>
      <c r="N47" s="28">
        <v>-76.257707999999994</v>
      </c>
      <c r="O47" s="15"/>
    </row>
    <row r="48" spans="2:15" ht="30">
      <c r="B48" s="8">
        <v>2783</v>
      </c>
      <c r="C48" s="8">
        <v>24013373</v>
      </c>
      <c r="D48" s="10">
        <v>9.5</v>
      </c>
      <c r="E48" s="13">
        <v>746.1</v>
      </c>
      <c r="F48" s="8">
        <v>70062027179</v>
      </c>
      <c r="G48" s="12" t="s">
        <v>748</v>
      </c>
      <c r="H48" s="11" t="s">
        <v>1166</v>
      </c>
      <c r="I48" s="11" t="s">
        <v>1166</v>
      </c>
      <c r="J48" s="12" t="s">
        <v>1684</v>
      </c>
      <c r="K48" s="8" t="s">
        <v>912</v>
      </c>
      <c r="L48" s="8" t="s">
        <v>69</v>
      </c>
      <c r="M48" s="28">
        <v>20.875336000000001</v>
      </c>
      <c r="N48" s="28">
        <v>-76.242756</v>
      </c>
      <c r="O48" s="15"/>
    </row>
    <row r="49" spans="2:15" ht="15">
      <c r="B49" s="8">
        <v>2783</v>
      </c>
      <c r="C49" s="8">
        <v>24013409</v>
      </c>
      <c r="D49" s="10">
        <v>19.079999999999998</v>
      </c>
      <c r="E49" s="13">
        <v>1638.6</v>
      </c>
      <c r="F49" s="8">
        <v>89092637571</v>
      </c>
      <c r="G49" s="12" t="s">
        <v>792</v>
      </c>
      <c r="H49" s="11" t="s">
        <v>1181</v>
      </c>
      <c r="I49" s="11" t="s">
        <v>1181</v>
      </c>
      <c r="J49" s="12" t="s">
        <v>943</v>
      </c>
      <c r="K49" s="8" t="s">
        <v>912</v>
      </c>
      <c r="L49" s="8" t="s">
        <v>69</v>
      </c>
      <c r="M49" s="28">
        <v>20.887139000000001</v>
      </c>
      <c r="N49" s="28">
        <v>-76.260452999999998</v>
      </c>
      <c r="O49" s="15"/>
    </row>
    <row r="50" spans="2:15" ht="30">
      <c r="B50" s="8">
        <v>2783</v>
      </c>
      <c r="C50" s="8">
        <v>24013420</v>
      </c>
      <c r="D50" s="10">
        <v>19.88</v>
      </c>
      <c r="E50" s="13">
        <v>1577.7</v>
      </c>
      <c r="F50" s="8">
        <v>70100814147</v>
      </c>
      <c r="G50" s="12" t="s">
        <v>823</v>
      </c>
      <c r="H50" s="11" t="s">
        <v>1191</v>
      </c>
      <c r="I50" s="11" t="s">
        <v>1191</v>
      </c>
      <c r="J50" s="12" t="s">
        <v>944</v>
      </c>
      <c r="K50" s="8" t="s">
        <v>912</v>
      </c>
      <c r="L50" s="8" t="s">
        <v>69</v>
      </c>
      <c r="M50" s="28">
        <v>20.882155000000001</v>
      </c>
      <c r="N50" s="28">
        <v>-76.267230999999995</v>
      </c>
      <c r="O50" s="15"/>
    </row>
    <row r="51" spans="2:15" ht="15">
      <c r="B51" s="8">
        <v>2783</v>
      </c>
      <c r="C51" s="8">
        <v>24013365</v>
      </c>
      <c r="D51" s="10">
        <v>13</v>
      </c>
      <c r="E51" s="13">
        <v>1048.5</v>
      </c>
      <c r="F51" s="8">
        <v>88122428415</v>
      </c>
      <c r="G51" s="12" t="s">
        <v>724</v>
      </c>
      <c r="H51" s="11" t="s">
        <v>1158</v>
      </c>
      <c r="I51" s="11" t="s">
        <v>1158</v>
      </c>
      <c r="J51" s="12" t="s">
        <v>935</v>
      </c>
      <c r="K51" s="8" t="s">
        <v>918</v>
      </c>
      <c r="L51" s="8" t="s">
        <v>69</v>
      </c>
      <c r="M51" s="28">
        <v>20.634008000000001</v>
      </c>
      <c r="N51" s="28">
        <v>-75.697716</v>
      </c>
      <c r="O51" s="15"/>
    </row>
    <row r="52" spans="2:15" ht="15">
      <c r="B52" s="8">
        <v>2783</v>
      </c>
      <c r="C52" s="8">
        <v>24013366</v>
      </c>
      <c r="D52" s="10">
        <v>17.3</v>
      </c>
      <c r="E52" s="13">
        <v>1350.9</v>
      </c>
      <c r="F52" s="8">
        <v>73112308599</v>
      </c>
      <c r="G52" s="12" t="s">
        <v>727</v>
      </c>
      <c r="H52" s="11" t="s">
        <v>1159</v>
      </c>
      <c r="I52" s="11" t="s">
        <v>1159</v>
      </c>
      <c r="J52" s="12" t="s">
        <v>936</v>
      </c>
      <c r="K52" s="8" t="s">
        <v>918</v>
      </c>
      <c r="L52" s="8" t="s">
        <v>69</v>
      </c>
      <c r="M52" s="28">
        <v>20.651634000000001</v>
      </c>
      <c r="N52" s="28">
        <v>-75.679851999999997</v>
      </c>
      <c r="O52" s="15"/>
    </row>
    <row r="53" spans="2:15" ht="15">
      <c r="B53" s="8">
        <v>2783</v>
      </c>
      <c r="C53" s="8">
        <v>24013325</v>
      </c>
      <c r="D53" s="10">
        <v>20.5</v>
      </c>
      <c r="E53" s="13">
        <v>1577.7</v>
      </c>
      <c r="F53" s="8">
        <v>91110844254</v>
      </c>
      <c r="G53" s="12" t="s">
        <v>635</v>
      </c>
      <c r="H53" s="11" t="s">
        <v>1127</v>
      </c>
      <c r="I53" s="11" t="s">
        <v>1127</v>
      </c>
      <c r="J53" s="12" t="s">
        <v>929</v>
      </c>
      <c r="K53" s="8" t="s">
        <v>914</v>
      </c>
      <c r="L53" s="8" t="s">
        <v>69</v>
      </c>
      <c r="M53" s="28">
        <v>20.657727999999999</v>
      </c>
      <c r="N53" s="28">
        <v>-74.945575000000005</v>
      </c>
      <c r="O53" s="15"/>
    </row>
    <row r="54" spans="2:15" ht="15">
      <c r="B54" s="8">
        <v>2783</v>
      </c>
      <c r="C54" s="8">
        <v>24013326</v>
      </c>
      <c r="D54" s="10">
        <v>12.1</v>
      </c>
      <c r="E54" s="13">
        <v>1124.0999999999999</v>
      </c>
      <c r="F54" s="8">
        <v>91110844254</v>
      </c>
      <c r="G54" s="12" t="s">
        <v>635</v>
      </c>
      <c r="H54" s="11" t="s">
        <v>1127</v>
      </c>
      <c r="I54" s="11" t="s">
        <v>1127</v>
      </c>
      <c r="J54" s="12" t="s">
        <v>929</v>
      </c>
      <c r="K54" s="8" t="s">
        <v>914</v>
      </c>
      <c r="L54" s="8" t="s">
        <v>69</v>
      </c>
      <c r="M54" s="28">
        <v>20.657727999999999</v>
      </c>
      <c r="N54" s="28">
        <v>-74.945575000000005</v>
      </c>
      <c r="O54" s="15"/>
    </row>
    <row r="55" spans="2:15" ht="45">
      <c r="B55" s="8">
        <v>2783</v>
      </c>
      <c r="C55" s="8">
        <v>24013386</v>
      </c>
      <c r="D55" s="10">
        <v>3.3</v>
      </c>
      <c r="E55" s="13">
        <v>295</v>
      </c>
      <c r="F55" s="8">
        <v>70062726985</v>
      </c>
      <c r="G55" s="12" t="s">
        <v>777</v>
      </c>
      <c r="H55" s="11" t="s">
        <v>1176</v>
      </c>
      <c r="I55" s="11" t="s">
        <v>1176</v>
      </c>
      <c r="J55" s="12" t="s">
        <v>941</v>
      </c>
      <c r="K55" s="8" t="s">
        <v>921</v>
      </c>
      <c r="L55" s="8" t="s">
        <v>932</v>
      </c>
      <c r="M55" s="28">
        <v>21.161014999999999</v>
      </c>
      <c r="N55" s="28">
        <v>-76.477005000000005</v>
      </c>
      <c r="O55" s="15"/>
    </row>
    <row r="56" spans="2:15" ht="30">
      <c r="B56" s="8">
        <v>2783</v>
      </c>
      <c r="C56" s="8">
        <v>24013319</v>
      </c>
      <c r="D56" s="10">
        <v>2.6</v>
      </c>
      <c r="E56" s="13">
        <v>295</v>
      </c>
      <c r="F56" s="8">
        <v>85062820287</v>
      </c>
      <c r="G56" s="12" t="s">
        <v>624</v>
      </c>
      <c r="H56" s="11" t="s">
        <v>1123</v>
      </c>
      <c r="I56" s="11" t="s">
        <v>1123</v>
      </c>
      <c r="J56" s="12" t="s">
        <v>928</v>
      </c>
      <c r="K56" s="8" t="s">
        <v>913</v>
      </c>
      <c r="L56" s="8" t="s">
        <v>932</v>
      </c>
      <c r="M56" s="28">
        <v>20.896027</v>
      </c>
      <c r="N56" s="28">
        <v>-77.280438000000004</v>
      </c>
      <c r="O56" s="15"/>
    </row>
    <row r="57" spans="2:15" ht="45">
      <c r="B57" s="8">
        <v>2783</v>
      </c>
      <c r="C57" s="8">
        <v>24013360</v>
      </c>
      <c r="D57" s="10">
        <v>14.9</v>
      </c>
      <c r="E57" s="13">
        <v>1199.7</v>
      </c>
      <c r="F57" s="8">
        <v>77050507653</v>
      </c>
      <c r="G57" s="12" t="s">
        <v>709</v>
      </c>
      <c r="H57" s="11" t="s">
        <v>1152</v>
      </c>
      <c r="I57" s="11" t="s">
        <v>1153</v>
      </c>
      <c r="J57" s="12" t="s">
        <v>973</v>
      </c>
      <c r="K57" s="8" t="s">
        <v>967</v>
      </c>
      <c r="L57" s="8" t="s">
        <v>202</v>
      </c>
      <c r="M57" s="28">
        <v>22.521993999999999</v>
      </c>
      <c r="N57" s="28">
        <v>-83.414097999999996</v>
      </c>
      <c r="O57" s="15"/>
    </row>
    <row r="58" spans="2:15" ht="45">
      <c r="B58" s="8">
        <v>2783</v>
      </c>
      <c r="C58" s="8">
        <v>24013374</v>
      </c>
      <c r="D58" s="10">
        <v>10.1</v>
      </c>
      <c r="E58" s="13">
        <v>295</v>
      </c>
      <c r="F58" s="8">
        <v>77050507653</v>
      </c>
      <c r="G58" s="12" t="s">
        <v>709</v>
      </c>
      <c r="H58" s="11" t="s">
        <v>1152</v>
      </c>
      <c r="I58" s="11" t="s">
        <v>1153</v>
      </c>
      <c r="J58" s="12" t="s">
        <v>973</v>
      </c>
      <c r="K58" s="8" t="s">
        <v>967</v>
      </c>
      <c r="L58" s="8" t="s">
        <v>202</v>
      </c>
      <c r="M58" s="28">
        <v>22.521993999999999</v>
      </c>
      <c r="N58" s="28">
        <v>-83.414097999999996</v>
      </c>
      <c r="O58" s="15"/>
    </row>
    <row r="59" spans="2:15" ht="45">
      <c r="B59" s="8">
        <v>2783</v>
      </c>
      <c r="C59" s="8">
        <v>24013375</v>
      </c>
      <c r="D59" s="10">
        <v>14.5</v>
      </c>
      <c r="E59" s="13">
        <v>1124.0999999999999</v>
      </c>
      <c r="F59" s="8">
        <v>77050507653</v>
      </c>
      <c r="G59" s="12" t="s">
        <v>709</v>
      </c>
      <c r="H59" s="11" t="s">
        <v>1152</v>
      </c>
      <c r="I59" s="11" t="s">
        <v>1153</v>
      </c>
      <c r="J59" s="12" t="s">
        <v>973</v>
      </c>
      <c r="K59" s="8" t="s">
        <v>967</v>
      </c>
      <c r="L59" s="8" t="s">
        <v>202</v>
      </c>
      <c r="M59" s="28">
        <v>22.521993999999999</v>
      </c>
      <c r="N59" s="28">
        <v>-83.414097999999996</v>
      </c>
      <c r="O59" s="15"/>
    </row>
    <row r="60" spans="2:15" ht="30">
      <c r="B60" s="8">
        <v>2783</v>
      </c>
      <c r="C60" s="8">
        <v>24013332</v>
      </c>
      <c r="D60" s="10">
        <v>34.4</v>
      </c>
      <c r="E60" s="13">
        <v>2764.2</v>
      </c>
      <c r="F60" s="8">
        <v>68110729518</v>
      </c>
      <c r="G60" s="12" t="s">
        <v>644</v>
      </c>
      <c r="H60" s="11" t="s">
        <v>1130</v>
      </c>
      <c r="I60" s="11" t="s">
        <v>1130</v>
      </c>
      <c r="J60" s="12" t="s">
        <v>971</v>
      </c>
      <c r="K60" s="8" t="s">
        <v>966</v>
      </c>
      <c r="L60" s="8" t="s">
        <v>202</v>
      </c>
      <c r="M60" s="28">
        <v>22.411100999999999</v>
      </c>
      <c r="N60" s="28">
        <v>-83.705669999999998</v>
      </c>
      <c r="O60" s="15"/>
    </row>
    <row r="61" spans="2:15" ht="30">
      <c r="B61" s="8">
        <v>2783</v>
      </c>
      <c r="C61" s="8">
        <v>24013345</v>
      </c>
      <c r="D61" s="10">
        <v>19.600000000000001</v>
      </c>
      <c r="E61" s="13">
        <v>295</v>
      </c>
      <c r="F61" s="8">
        <v>58071404481</v>
      </c>
      <c r="G61" s="12" t="s">
        <v>322</v>
      </c>
      <c r="H61" s="11">
        <v>52549328</v>
      </c>
      <c r="I61" s="11">
        <v>52549328</v>
      </c>
      <c r="J61" s="12" t="s">
        <v>989</v>
      </c>
      <c r="K61" s="8" t="s">
        <v>966</v>
      </c>
      <c r="L61" s="8" t="s">
        <v>202</v>
      </c>
      <c r="M61" s="28">
        <v>22.425806999999999</v>
      </c>
      <c r="N61" s="28">
        <v>-83.680198000000004</v>
      </c>
      <c r="O61" s="15"/>
    </row>
    <row r="62" spans="2:15" ht="30">
      <c r="B62" s="8">
        <v>2783</v>
      </c>
      <c r="C62" s="8">
        <v>24013346</v>
      </c>
      <c r="D62" s="10">
        <v>14.2</v>
      </c>
      <c r="E62" s="13">
        <v>1124.0999999999999</v>
      </c>
      <c r="F62" s="8">
        <v>58071404481</v>
      </c>
      <c r="G62" s="12" t="s">
        <v>322</v>
      </c>
      <c r="H62" s="11">
        <v>52549328</v>
      </c>
      <c r="I62" s="11">
        <v>52549328</v>
      </c>
      <c r="J62" s="12" t="s">
        <v>989</v>
      </c>
      <c r="K62" s="8" t="s">
        <v>966</v>
      </c>
      <c r="L62" s="8" t="s">
        <v>202</v>
      </c>
      <c r="M62" s="28">
        <v>22.425806999999999</v>
      </c>
      <c r="N62" s="28">
        <v>-83.680198000000004</v>
      </c>
      <c r="O62" s="15"/>
    </row>
    <row r="63" spans="2:15" ht="30">
      <c r="B63" s="8">
        <v>2783</v>
      </c>
      <c r="C63" s="8">
        <v>24013356</v>
      </c>
      <c r="D63" s="10">
        <v>19.3</v>
      </c>
      <c r="E63" s="13">
        <v>1789.8</v>
      </c>
      <c r="F63" s="8">
        <v>87072202332</v>
      </c>
      <c r="G63" s="12" t="s">
        <v>698</v>
      </c>
      <c r="H63" s="11" t="s">
        <v>1148</v>
      </c>
      <c r="I63" s="11" t="s">
        <v>1148</v>
      </c>
      <c r="J63" s="12" t="s">
        <v>972</v>
      </c>
      <c r="K63" s="8" t="s">
        <v>966</v>
      </c>
      <c r="L63" s="8" t="s">
        <v>202</v>
      </c>
      <c r="M63" s="28">
        <v>22.420843000000001</v>
      </c>
      <c r="N63" s="28">
        <v>-83.692321000000007</v>
      </c>
      <c r="O63" s="15"/>
    </row>
    <row r="64" spans="2:15" ht="30">
      <c r="B64" s="8">
        <v>2783</v>
      </c>
      <c r="C64" s="8">
        <v>24013370</v>
      </c>
      <c r="D64" s="10">
        <v>14.8</v>
      </c>
      <c r="E64" s="13">
        <v>1350.9</v>
      </c>
      <c r="F64" s="8">
        <v>61020628370</v>
      </c>
      <c r="G64" s="12" t="s">
        <v>739</v>
      </c>
      <c r="H64" s="11" t="s">
        <v>1163</v>
      </c>
      <c r="I64" s="11" t="s">
        <v>1163</v>
      </c>
      <c r="J64" s="12" t="s">
        <v>974</v>
      </c>
      <c r="K64" s="8" t="s">
        <v>966</v>
      </c>
      <c r="L64" s="8" t="s">
        <v>202</v>
      </c>
      <c r="M64" s="28">
        <v>22.435141000000002</v>
      </c>
      <c r="N64" s="28">
        <v>-83.740053000000003</v>
      </c>
      <c r="O64" s="15"/>
    </row>
    <row r="65" spans="2:15" ht="30">
      <c r="B65" s="8">
        <v>2783</v>
      </c>
      <c r="C65" s="8">
        <v>24013376</v>
      </c>
      <c r="D65" s="10">
        <v>13.5</v>
      </c>
      <c r="E65" s="13">
        <v>295</v>
      </c>
      <c r="F65" s="8">
        <v>66081923746</v>
      </c>
      <c r="G65" s="12" t="s">
        <v>753</v>
      </c>
      <c r="H65" s="11" t="s">
        <v>1167</v>
      </c>
      <c r="I65" s="11" t="s">
        <v>1167</v>
      </c>
      <c r="J65" s="12" t="s">
        <v>1687</v>
      </c>
      <c r="K65" s="8" t="s">
        <v>966</v>
      </c>
      <c r="L65" s="8" t="s">
        <v>202</v>
      </c>
      <c r="M65" s="28">
        <v>22.4163408</v>
      </c>
      <c r="N65" s="28">
        <v>-83.698278400000007</v>
      </c>
      <c r="O65" s="15"/>
    </row>
    <row r="66" spans="2:15" ht="30">
      <c r="B66" s="8">
        <v>2783</v>
      </c>
      <c r="C66" s="8">
        <v>24013379</v>
      </c>
      <c r="D66" s="10">
        <v>22.7</v>
      </c>
      <c r="E66" s="13">
        <v>1894.8</v>
      </c>
      <c r="F66" s="8">
        <v>99051702446</v>
      </c>
      <c r="G66" s="12" t="s">
        <v>760</v>
      </c>
      <c r="H66" s="11" t="s">
        <v>1170</v>
      </c>
      <c r="I66" s="11" t="s">
        <v>1170</v>
      </c>
      <c r="J66" s="12" t="s">
        <v>988</v>
      </c>
      <c r="K66" s="8" t="s">
        <v>966</v>
      </c>
      <c r="L66" s="8" t="s">
        <v>202</v>
      </c>
      <c r="M66" s="28">
        <v>22.425122999999999</v>
      </c>
      <c r="N66" s="28">
        <v>-83.682953999999995</v>
      </c>
      <c r="O66" s="15"/>
    </row>
    <row r="67" spans="2:15" ht="30">
      <c r="B67" s="8">
        <v>2783</v>
      </c>
      <c r="C67" s="8">
        <v>24013390</v>
      </c>
      <c r="D67" s="10">
        <v>21.2</v>
      </c>
      <c r="E67" s="13">
        <v>1705.8</v>
      </c>
      <c r="F67" s="8">
        <v>68110729518</v>
      </c>
      <c r="G67" s="12" t="s">
        <v>644</v>
      </c>
      <c r="H67" s="11" t="s">
        <v>1130</v>
      </c>
      <c r="I67" s="11" t="s">
        <v>1130</v>
      </c>
      <c r="J67" s="12" t="s">
        <v>971</v>
      </c>
      <c r="K67" s="8" t="s">
        <v>966</v>
      </c>
      <c r="L67" s="8" t="s">
        <v>202</v>
      </c>
      <c r="M67" s="28">
        <v>22.411100999999999</v>
      </c>
      <c r="N67" s="28">
        <v>-83.705669999999998</v>
      </c>
      <c r="O67" s="15"/>
    </row>
    <row r="68" spans="2:15" ht="30">
      <c r="B68" s="8">
        <v>2783</v>
      </c>
      <c r="C68" s="8">
        <v>24013337</v>
      </c>
      <c r="D68" s="10">
        <v>12.5</v>
      </c>
      <c r="E68" s="13">
        <v>972.9</v>
      </c>
      <c r="F68" s="8">
        <v>97041022731</v>
      </c>
      <c r="G68" s="12" t="s">
        <v>654</v>
      </c>
      <c r="H68" s="11" t="s">
        <v>1134</v>
      </c>
      <c r="I68" s="11" t="s">
        <v>1134</v>
      </c>
      <c r="J68" s="12" t="s">
        <v>1006</v>
      </c>
      <c r="K68" s="8" t="s">
        <v>996</v>
      </c>
      <c r="L68" s="8" t="s">
        <v>79</v>
      </c>
      <c r="M68" s="28">
        <v>20.299150999999998</v>
      </c>
      <c r="N68" s="28">
        <v>-76.248075</v>
      </c>
      <c r="O68" s="15"/>
    </row>
    <row r="69" spans="2:15" ht="30">
      <c r="B69" s="8">
        <v>2783</v>
      </c>
      <c r="C69" s="8">
        <v>24013338</v>
      </c>
      <c r="D69" s="10">
        <v>8.8000000000000007</v>
      </c>
      <c r="E69" s="13">
        <v>670.5</v>
      </c>
      <c r="F69" s="8">
        <v>97041022731</v>
      </c>
      <c r="G69" s="12" t="s">
        <v>654</v>
      </c>
      <c r="H69" s="11" t="s">
        <v>1134</v>
      </c>
      <c r="I69" s="11" t="s">
        <v>1134</v>
      </c>
      <c r="J69" s="12" t="s">
        <v>1006</v>
      </c>
      <c r="K69" s="8" t="s">
        <v>996</v>
      </c>
      <c r="L69" s="8" t="s">
        <v>79</v>
      </c>
      <c r="M69" s="28">
        <v>20.299150999999998</v>
      </c>
      <c r="N69" s="28">
        <v>-76.248075</v>
      </c>
      <c r="O69" s="15"/>
    </row>
    <row r="70" spans="2:15" ht="30">
      <c r="B70" s="8">
        <v>2783</v>
      </c>
      <c r="C70" s="8">
        <v>24013339</v>
      </c>
      <c r="D70" s="10">
        <v>10.9</v>
      </c>
      <c r="E70" s="13">
        <v>821.7</v>
      </c>
      <c r="F70" s="8">
        <v>97041022731</v>
      </c>
      <c r="G70" s="12" t="s">
        <v>654</v>
      </c>
      <c r="H70" s="11" t="s">
        <v>1134</v>
      </c>
      <c r="I70" s="11" t="s">
        <v>1134</v>
      </c>
      <c r="J70" s="12" t="s">
        <v>1006</v>
      </c>
      <c r="K70" s="8" t="s">
        <v>996</v>
      </c>
      <c r="L70" s="8" t="s">
        <v>79</v>
      </c>
      <c r="M70" s="28">
        <v>20.299150999999998</v>
      </c>
      <c r="N70" s="28">
        <v>-76.248075</v>
      </c>
      <c r="O70" s="15"/>
    </row>
    <row r="71" spans="2:15" ht="30">
      <c r="B71" s="8">
        <v>2783</v>
      </c>
      <c r="C71" s="8">
        <v>24013322</v>
      </c>
      <c r="D71" s="10">
        <v>17</v>
      </c>
      <c r="E71" s="13">
        <v>1577.7</v>
      </c>
      <c r="F71" s="8">
        <v>58040910124</v>
      </c>
      <c r="G71" s="12" t="s">
        <v>629</v>
      </c>
      <c r="H71" s="11" t="s">
        <v>1125</v>
      </c>
      <c r="I71" s="11" t="s">
        <v>1125</v>
      </c>
      <c r="J71" s="12" t="s">
        <v>1004</v>
      </c>
      <c r="K71" s="8" t="s">
        <v>995</v>
      </c>
      <c r="L71" s="8" t="s">
        <v>79</v>
      </c>
      <c r="M71" s="28">
        <v>20.23648</v>
      </c>
      <c r="N71" s="28">
        <v>-76.000232999999994</v>
      </c>
      <c r="O71" s="15"/>
    </row>
    <row r="72" spans="2:15" ht="45">
      <c r="B72" s="8">
        <v>2783</v>
      </c>
      <c r="C72" s="8">
        <v>24013318</v>
      </c>
      <c r="D72" s="10">
        <v>2.4</v>
      </c>
      <c r="E72" s="13">
        <v>295</v>
      </c>
      <c r="F72" s="8">
        <v>70041211593</v>
      </c>
      <c r="G72" s="12" t="s">
        <v>622</v>
      </c>
      <c r="H72" s="11" t="s">
        <v>1122</v>
      </c>
      <c r="I72" s="11" t="s">
        <v>1122</v>
      </c>
      <c r="J72" s="12" t="s">
        <v>1003</v>
      </c>
      <c r="K72" s="8" t="s">
        <v>994</v>
      </c>
      <c r="L72" s="8" t="s">
        <v>79</v>
      </c>
      <c r="M72" s="28">
        <v>20.018689999999999</v>
      </c>
      <c r="N72" s="28">
        <v>-75.816205999999994</v>
      </c>
      <c r="O72" s="15"/>
    </row>
    <row r="73" spans="2:15" ht="45">
      <c r="B73" s="8">
        <v>2783</v>
      </c>
      <c r="C73" s="8">
        <v>24013327</v>
      </c>
      <c r="D73" s="10">
        <v>14</v>
      </c>
      <c r="E73" s="13">
        <v>1502.1</v>
      </c>
      <c r="F73" s="8">
        <v>72022143771</v>
      </c>
      <c r="G73" s="12" t="s">
        <v>639</v>
      </c>
      <c r="H73" s="11" t="s">
        <v>1128</v>
      </c>
      <c r="I73" s="11" t="s">
        <v>1128</v>
      </c>
      <c r="J73" s="12" t="s">
        <v>1005</v>
      </c>
      <c r="K73" s="8" t="s">
        <v>994</v>
      </c>
      <c r="L73" s="8" t="s">
        <v>79</v>
      </c>
      <c r="M73" s="28">
        <v>20.015238</v>
      </c>
      <c r="N73" s="28">
        <v>-75.833042000000006</v>
      </c>
      <c r="O73" s="15"/>
    </row>
    <row r="74" spans="2:15" ht="45">
      <c r="B74" s="8">
        <v>2783</v>
      </c>
      <c r="C74" s="8">
        <v>24013328</v>
      </c>
      <c r="D74" s="10">
        <v>13.5</v>
      </c>
      <c r="E74" s="13">
        <v>1048.5</v>
      </c>
      <c r="F74" s="8">
        <v>72022143771</v>
      </c>
      <c r="G74" s="12" t="s">
        <v>639</v>
      </c>
      <c r="H74" s="11" t="s">
        <v>1128</v>
      </c>
      <c r="I74" s="11" t="s">
        <v>1128</v>
      </c>
      <c r="J74" s="12" t="s">
        <v>1005</v>
      </c>
      <c r="K74" s="8" t="s">
        <v>994</v>
      </c>
      <c r="L74" s="8" t="s">
        <v>79</v>
      </c>
      <c r="M74" s="28">
        <v>20.015238</v>
      </c>
      <c r="N74" s="28">
        <v>-75.833042000000006</v>
      </c>
      <c r="O74" s="15"/>
    </row>
    <row r="75" spans="2:15" ht="45">
      <c r="B75" s="8">
        <v>2783</v>
      </c>
      <c r="C75" s="8">
        <v>24013329</v>
      </c>
      <c r="D75" s="10">
        <v>13.7</v>
      </c>
      <c r="E75" s="13">
        <v>1199.7</v>
      </c>
      <c r="F75" s="8">
        <v>72022143771</v>
      </c>
      <c r="G75" s="12" t="s">
        <v>639</v>
      </c>
      <c r="H75" s="11" t="s">
        <v>1128</v>
      </c>
      <c r="I75" s="11" t="s">
        <v>1128</v>
      </c>
      <c r="J75" s="12" t="s">
        <v>1005</v>
      </c>
      <c r="K75" s="8" t="s">
        <v>994</v>
      </c>
      <c r="L75" s="8" t="s">
        <v>79</v>
      </c>
      <c r="M75" s="28">
        <v>20.015238</v>
      </c>
      <c r="N75" s="28">
        <v>-75.833042000000006</v>
      </c>
      <c r="O75" s="15"/>
    </row>
    <row r="76" spans="2:15" ht="45">
      <c r="B76" s="8">
        <v>2783</v>
      </c>
      <c r="C76" s="8">
        <v>24013385</v>
      </c>
      <c r="D76" s="10">
        <v>19.8</v>
      </c>
      <c r="E76" s="13">
        <v>1638.6</v>
      </c>
      <c r="F76" s="8">
        <v>76070712017</v>
      </c>
      <c r="G76" s="12" t="s">
        <v>774</v>
      </c>
      <c r="H76" s="11" t="s">
        <v>1175</v>
      </c>
      <c r="I76" s="11" t="s">
        <v>1175</v>
      </c>
      <c r="J76" s="12" t="s">
        <v>1024</v>
      </c>
      <c r="K76" s="8" t="s">
        <v>994</v>
      </c>
      <c r="L76" s="8" t="s">
        <v>79</v>
      </c>
      <c r="M76" s="28">
        <v>20.012371000000002</v>
      </c>
      <c r="N76" s="28">
        <v>-75.773431000000002</v>
      </c>
      <c r="O76" s="15"/>
    </row>
    <row r="77" spans="2:15" ht="30">
      <c r="B77" s="8">
        <v>2783</v>
      </c>
      <c r="C77" s="8">
        <v>24013354</v>
      </c>
      <c r="D77" s="10">
        <v>10.6</v>
      </c>
      <c r="E77" s="13">
        <v>852.15</v>
      </c>
      <c r="F77" s="8">
        <v>56031703114</v>
      </c>
      <c r="G77" s="12" t="s">
        <v>695</v>
      </c>
      <c r="H77" s="11" t="s">
        <v>1147</v>
      </c>
      <c r="I77" s="11" t="s">
        <v>1147</v>
      </c>
      <c r="J77" s="12" t="s">
        <v>1058</v>
      </c>
      <c r="K77" s="8" t="s">
        <v>1043</v>
      </c>
      <c r="L77" s="8" t="s">
        <v>211</v>
      </c>
      <c r="M77" s="28">
        <v>22.468205999999999</v>
      </c>
      <c r="N77" s="28">
        <v>-79.720050999999998</v>
      </c>
      <c r="O77" s="15"/>
    </row>
    <row r="78" spans="2:15" ht="30">
      <c r="B78" s="8">
        <v>2783</v>
      </c>
      <c r="C78" s="8">
        <v>24013355</v>
      </c>
      <c r="D78" s="10">
        <v>29.4</v>
      </c>
      <c r="E78" s="13">
        <v>2356.8000000000002</v>
      </c>
      <c r="F78" s="8">
        <v>56031703114</v>
      </c>
      <c r="G78" s="12" t="s">
        <v>695</v>
      </c>
      <c r="H78" s="11" t="s">
        <v>1147</v>
      </c>
      <c r="I78" s="11" t="s">
        <v>1147</v>
      </c>
      <c r="J78" s="12" t="s">
        <v>1058</v>
      </c>
      <c r="K78" s="8" t="s">
        <v>1043</v>
      </c>
      <c r="L78" s="8" t="s">
        <v>211</v>
      </c>
      <c r="M78" s="28">
        <v>22.468205999999999</v>
      </c>
      <c r="N78" s="28">
        <v>-79.720050999999998</v>
      </c>
      <c r="O78" s="15"/>
    </row>
    <row r="79" spans="2:15" ht="30">
      <c r="B79" s="8">
        <v>2783</v>
      </c>
      <c r="C79" s="8">
        <v>24013363</v>
      </c>
      <c r="D79" s="10">
        <v>9.9</v>
      </c>
      <c r="E79" s="13">
        <v>799.65</v>
      </c>
      <c r="F79" s="8">
        <v>62072916215</v>
      </c>
      <c r="G79" s="12" t="s">
        <v>718</v>
      </c>
      <c r="H79" s="11" t="s">
        <v>1156</v>
      </c>
      <c r="I79" s="11" t="s">
        <v>1156</v>
      </c>
      <c r="J79" s="12" t="s">
        <v>1059</v>
      </c>
      <c r="K79" s="8" t="s">
        <v>1043</v>
      </c>
      <c r="L79" s="8" t="s">
        <v>211</v>
      </c>
      <c r="M79" s="28">
        <v>22.464995999999999</v>
      </c>
      <c r="N79" s="28">
        <v>-79.727716999999998</v>
      </c>
      <c r="O79" s="15"/>
    </row>
    <row r="80" spans="2:15" ht="30">
      <c r="B80" s="8">
        <v>2783</v>
      </c>
      <c r="C80" s="8">
        <v>24013382</v>
      </c>
      <c r="D80" s="10">
        <v>8.4</v>
      </c>
      <c r="E80" s="13">
        <v>670.5</v>
      </c>
      <c r="F80" s="8">
        <v>85052011690</v>
      </c>
      <c r="G80" s="12" t="s">
        <v>767</v>
      </c>
      <c r="H80" s="11" t="s">
        <v>1173</v>
      </c>
      <c r="I80" s="11" t="s">
        <v>1173</v>
      </c>
      <c r="J80" s="12" t="s">
        <v>1060</v>
      </c>
      <c r="K80" s="8" t="s">
        <v>1043</v>
      </c>
      <c r="L80" s="8" t="s">
        <v>211</v>
      </c>
      <c r="M80" s="28">
        <v>22.459534000000001</v>
      </c>
      <c r="N80" s="28">
        <v>-79.718828999999999</v>
      </c>
      <c r="O80" s="15"/>
    </row>
    <row r="81" spans="2:15" ht="30">
      <c r="B81" s="8">
        <v>2783</v>
      </c>
      <c r="C81" s="8">
        <v>24013383</v>
      </c>
      <c r="D81" s="10">
        <v>10.4</v>
      </c>
      <c r="E81" s="13">
        <v>821.7</v>
      </c>
      <c r="F81" s="8">
        <v>85052011690</v>
      </c>
      <c r="G81" s="12" t="s">
        <v>767</v>
      </c>
      <c r="H81" s="11" t="s">
        <v>1173</v>
      </c>
      <c r="I81" s="11" t="s">
        <v>1173</v>
      </c>
      <c r="J81" s="12" t="s">
        <v>1060</v>
      </c>
      <c r="K81" s="8" t="s">
        <v>1043</v>
      </c>
      <c r="L81" s="8" t="s">
        <v>211</v>
      </c>
      <c r="M81" s="28">
        <v>22.459534000000001</v>
      </c>
      <c r="N81" s="28">
        <v>-79.718828999999999</v>
      </c>
      <c r="O81" s="15"/>
    </row>
    <row r="82" spans="2:15" ht="30">
      <c r="B82" s="8">
        <v>2783</v>
      </c>
      <c r="C82" s="8">
        <v>24013417</v>
      </c>
      <c r="D82" s="10">
        <v>30.8</v>
      </c>
      <c r="E82" s="13">
        <v>1426.5</v>
      </c>
      <c r="F82" s="8">
        <v>98081610688</v>
      </c>
      <c r="G82" s="12" t="s">
        <v>814</v>
      </c>
      <c r="H82" s="11" t="s">
        <v>1189</v>
      </c>
      <c r="I82" s="11" t="s">
        <v>1189</v>
      </c>
      <c r="J82" s="12" t="s">
        <v>1062</v>
      </c>
      <c r="K82" s="8" t="s">
        <v>1045</v>
      </c>
      <c r="L82" s="8" t="s">
        <v>211</v>
      </c>
      <c r="M82" s="28">
        <v>22.879549999999998</v>
      </c>
      <c r="N82" s="28">
        <v>-80.390933000000004</v>
      </c>
      <c r="O82" s="15"/>
    </row>
    <row r="83" spans="2:15" ht="30">
      <c r="B83" s="8">
        <v>2783</v>
      </c>
      <c r="C83" s="8">
        <v>24013418</v>
      </c>
      <c r="D83" s="10">
        <v>26.8</v>
      </c>
      <c r="E83" s="13">
        <v>2083.8000000000002</v>
      </c>
      <c r="F83" s="8">
        <v>72121014239</v>
      </c>
      <c r="G83" s="12" t="s">
        <v>817</v>
      </c>
      <c r="H83" s="11" t="s">
        <v>1190</v>
      </c>
      <c r="I83" s="11" t="s">
        <v>1189</v>
      </c>
      <c r="J83" s="12" t="s">
        <v>1062</v>
      </c>
      <c r="K83" s="8" t="s">
        <v>1045</v>
      </c>
      <c r="L83" s="8" t="s">
        <v>211</v>
      </c>
      <c r="M83" s="28">
        <v>22.879549999999998</v>
      </c>
      <c r="N83" s="28">
        <v>-80.390933000000004</v>
      </c>
      <c r="O83" s="15"/>
    </row>
    <row r="84" spans="2:15" ht="30">
      <c r="B84" s="8">
        <v>2783</v>
      </c>
      <c r="C84" s="8">
        <v>24013419</v>
      </c>
      <c r="D84" s="10">
        <v>30.2</v>
      </c>
      <c r="E84" s="13">
        <v>295</v>
      </c>
      <c r="F84" s="8">
        <v>9102960216</v>
      </c>
      <c r="G84" s="12" t="s">
        <v>820</v>
      </c>
      <c r="H84" s="11" t="s">
        <v>1189</v>
      </c>
      <c r="I84" s="11" t="s">
        <v>1190</v>
      </c>
      <c r="J84" s="12" t="s">
        <v>1062</v>
      </c>
      <c r="K84" s="8" t="s">
        <v>1045</v>
      </c>
      <c r="L84" s="8" t="s">
        <v>211</v>
      </c>
      <c r="M84" s="28">
        <v>22.879549999999998</v>
      </c>
      <c r="N84" s="28">
        <v>-80.390933000000004</v>
      </c>
      <c r="O84" s="15"/>
    </row>
    <row r="85" spans="2:15" ht="45">
      <c r="B85" s="8">
        <v>2783</v>
      </c>
      <c r="C85" s="8">
        <v>24013368</v>
      </c>
      <c r="D85" s="10">
        <v>9.5</v>
      </c>
      <c r="E85" s="13">
        <v>746.1</v>
      </c>
      <c r="F85" s="8">
        <v>94043034999</v>
      </c>
      <c r="G85" s="12" t="s">
        <v>733</v>
      </c>
      <c r="H85" s="11" t="s">
        <v>1161</v>
      </c>
      <c r="I85" s="11" t="s">
        <v>1161</v>
      </c>
      <c r="J85" s="12" t="s">
        <v>1054</v>
      </c>
      <c r="K85" s="8" t="s">
        <v>1044</v>
      </c>
      <c r="L85" s="8" t="s">
        <v>211</v>
      </c>
      <c r="M85" s="28">
        <v>22.797062</v>
      </c>
      <c r="N85" s="28">
        <v>-80.073857000000004</v>
      </c>
      <c r="O85" s="15"/>
    </row>
    <row r="86" spans="2:15" ht="30">
      <c r="B86" s="8">
        <v>2783</v>
      </c>
      <c r="C86" s="8">
        <v>24013334</v>
      </c>
      <c r="D86" s="10">
        <v>25.5</v>
      </c>
      <c r="E86" s="13">
        <v>1970.4</v>
      </c>
      <c r="F86" s="8">
        <v>90081632507</v>
      </c>
      <c r="G86" s="12" t="s">
        <v>1106</v>
      </c>
      <c r="H86" s="11" t="s">
        <v>1132</v>
      </c>
      <c r="I86" s="11" t="s">
        <v>1132</v>
      </c>
      <c r="J86" s="12" t="s">
        <v>1074</v>
      </c>
      <c r="K86" s="8" t="s">
        <v>1042</v>
      </c>
      <c r="L86" s="8" t="s">
        <v>211</v>
      </c>
      <c r="M86" s="28">
        <v>22.507480999999999</v>
      </c>
      <c r="N86" s="28">
        <v>-80.001389000000003</v>
      </c>
      <c r="O86" s="15"/>
    </row>
    <row r="87" spans="2:15" ht="30">
      <c r="B87" s="8">
        <v>2783</v>
      </c>
      <c r="C87" s="8">
        <v>24013335</v>
      </c>
      <c r="D87" s="10">
        <v>15</v>
      </c>
      <c r="E87" s="13">
        <v>1199.7</v>
      </c>
      <c r="F87" s="8">
        <v>90081632507</v>
      </c>
      <c r="G87" s="12" t="s">
        <v>1106</v>
      </c>
      <c r="H87" s="11" t="s">
        <v>1132</v>
      </c>
      <c r="I87" s="11" t="s">
        <v>1132</v>
      </c>
      <c r="J87" s="12" t="s">
        <v>1074</v>
      </c>
      <c r="K87" s="8" t="s">
        <v>1042</v>
      </c>
      <c r="L87" s="8" t="s">
        <v>211</v>
      </c>
      <c r="M87" s="28">
        <v>22.507480999999999</v>
      </c>
      <c r="N87" s="28">
        <v>-80.001389000000003</v>
      </c>
      <c r="O87" s="15"/>
    </row>
    <row r="88" spans="2:15" ht="30">
      <c r="B88" s="8">
        <v>2783</v>
      </c>
      <c r="C88" s="8">
        <v>24013351</v>
      </c>
      <c r="D88" s="10">
        <v>20.6</v>
      </c>
      <c r="E88" s="13">
        <v>1502.1</v>
      </c>
      <c r="F88" s="8">
        <v>99051310493</v>
      </c>
      <c r="G88" s="12" t="s">
        <v>686</v>
      </c>
      <c r="H88" s="11" t="s">
        <v>1144</v>
      </c>
      <c r="I88" s="11" t="s">
        <v>1144</v>
      </c>
      <c r="J88" s="12" t="s">
        <v>1075</v>
      </c>
      <c r="K88" s="8" t="s">
        <v>1042</v>
      </c>
      <c r="L88" s="8" t="s">
        <v>211</v>
      </c>
      <c r="M88" s="28">
        <v>22.407945999999999</v>
      </c>
      <c r="N88" s="28">
        <v>-79.999701000000002</v>
      </c>
      <c r="O88" s="15"/>
    </row>
    <row r="89" spans="2:15" ht="45">
      <c r="B89" s="8">
        <v>2783</v>
      </c>
      <c r="C89" s="8">
        <v>24013387</v>
      </c>
      <c r="D89" s="10">
        <v>7.2</v>
      </c>
      <c r="E89" s="13">
        <v>443.7</v>
      </c>
      <c r="F89" s="8">
        <v>98120110529</v>
      </c>
      <c r="G89" s="12" t="s">
        <v>780</v>
      </c>
      <c r="H89" s="11" t="s">
        <v>1177</v>
      </c>
      <c r="I89" s="11" t="s">
        <v>1177</v>
      </c>
      <c r="J89" s="12" t="s">
        <v>1051</v>
      </c>
      <c r="K89" s="8" t="s">
        <v>1042</v>
      </c>
      <c r="L89" s="8" t="s">
        <v>211</v>
      </c>
      <c r="M89" s="28">
        <v>22.384169</v>
      </c>
      <c r="N89" s="28">
        <v>-79.958703</v>
      </c>
      <c r="O89" s="15"/>
    </row>
    <row r="90" spans="2:15" ht="30">
      <c r="B90" s="8">
        <v>2783</v>
      </c>
      <c r="C90" s="8">
        <v>24013317</v>
      </c>
      <c r="D90" s="10">
        <v>12.4</v>
      </c>
      <c r="E90" s="13">
        <v>1426.5</v>
      </c>
      <c r="F90" s="8">
        <v>78060519520</v>
      </c>
      <c r="G90" s="12" t="s">
        <v>619</v>
      </c>
      <c r="H90" s="11" t="s">
        <v>1121</v>
      </c>
      <c r="I90" s="11" t="s">
        <v>1121</v>
      </c>
      <c r="J90" s="12" t="s">
        <v>1071</v>
      </c>
      <c r="K90" s="8" t="s">
        <v>1041</v>
      </c>
      <c r="L90" s="8" t="s">
        <v>1052</v>
      </c>
      <c r="M90" s="28">
        <v>21.945965000000001</v>
      </c>
      <c r="N90" s="28">
        <v>-79.449241999999998</v>
      </c>
      <c r="O90" s="15"/>
    </row>
    <row r="91" spans="2:15" ht="30">
      <c r="B91" s="8">
        <v>2783</v>
      </c>
      <c r="C91" s="8">
        <v>24013364</v>
      </c>
      <c r="D91" s="10">
        <v>23.8</v>
      </c>
      <c r="E91" s="13">
        <v>1857</v>
      </c>
      <c r="F91" s="8">
        <v>98111913091</v>
      </c>
      <c r="G91" s="12" t="s">
        <v>721</v>
      </c>
      <c r="H91" s="11" t="s">
        <v>1157</v>
      </c>
      <c r="I91" s="11" t="s">
        <v>1157</v>
      </c>
      <c r="J91" s="12" t="s">
        <v>1070</v>
      </c>
      <c r="K91" s="8" t="s">
        <v>1041</v>
      </c>
      <c r="L91" s="8" t="s">
        <v>1052</v>
      </c>
      <c r="M91" s="28">
        <v>21.922874</v>
      </c>
      <c r="N91" s="28">
        <v>-79.428411999999994</v>
      </c>
      <c r="O91" s="15"/>
    </row>
    <row r="92" spans="2:15" ht="30">
      <c r="B92" s="8">
        <v>2783</v>
      </c>
      <c r="C92" s="8">
        <v>24013415</v>
      </c>
      <c r="D92" s="10">
        <v>3.5</v>
      </c>
      <c r="E92" s="13">
        <v>295</v>
      </c>
      <c r="F92" s="8">
        <v>7011058676</v>
      </c>
      <c r="G92" s="12" t="s">
        <v>1195</v>
      </c>
      <c r="H92" s="11" t="s">
        <v>1187</v>
      </c>
      <c r="I92" s="11" t="s">
        <v>1187</v>
      </c>
      <c r="J92" s="12" t="s">
        <v>1096</v>
      </c>
      <c r="K92" s="8" t="s">
        <v>1085</v>
      </c>
      <c r="L92" s="8" t="s">
        <v>185</v>
      </c>
      <c r="M92" s="28">
        <v>23.053798</v>
      </c>
      <c r="N92" s="28">
        <v>-81.323042000000001</v>
      </c>
      <c r="O92" s="15"/>
    </row>
    <row r="93" spans="2:15" ht="45">
      <c r="B93" s="8">
        <v>2783</v>
      </c>
      <c r="C93" s="8">
        <v>24013314</v>
      </c>
      <c r="D93" s="10">
        <v>8.6</v>
      </c>
      <c r="E93" s="13">
        <v>716.7</v>
      </c>
      <c r="F93" s="8">
        <v>60081313133</v>
      </c>
      <c r="G93" s="12" t="s">
        <v>610</v>
      </c>
      <c r="H93" s="11" t="s">
        <v>1119</v>
      </c>
      <c r="I93" s="11" t="s">
        <v>1119</v>
      </c>
      <c r="J93" s="12" t="s">
        <v>1099</v>
      </c>
      <c r="K93" s="8" t="s">
        <v>1083</v>
      </c>
      <c r="L93" s="8" t="s">
        <v>185</v>
      </c>
      <c r="M93" s="28">
        <v>22.680681</v>
      </c>
      <c r="N93" s="28">
        <v>-81.118342999999996</v>
      </c>
      <c r="O93" s="15"/>
    </row>
    <row r="94" spans="2:15" ht="45">
      <c r="B94" s="8">
        <v>2783</v>
      </c>
      <c r="C94" s="8">
        <v>24013336</v>
      </c>
      <c r="D94" s="10">
        <v>13.3</v>
      </c>
      <c r="E94" s="13">
        <v>972.9</v>
      </c>
      <c r="F94" s="8">
        <v>88011414103</v>
      </c>
      <c r="G94" s="12" t="s">
        <v>651</v>
      </c>
      <c r="H94" s="11" t="s">
        <v>1133</v>
      </c>
      <c r="I94" s="11" t="s">
        <v>1133</v>
      </c>
      <c r="J94" s="12" t="s">
        <v>1098</v>
      </c>
      <c r="K94" s="8" t="s">
        <v>1083</v>
      </c>
      <c r="L94" s="8" t="s">
        <v>185</v>
      </c>
      <c r="M94" s="28">
        <v>22.680681</v>
      </c>
      <c r="N94" s="28">
        <v>-81.118342999999996</v>
      </c>
      <c r="O94" s="15"/>
    </row>
    <row r="95" spans="2:15" ht="30">
      <c r="B95" s="8">
        <v>2783</v>
      </c>
      <c r="C95" s="8">
        <v>24013333</v>
      </c>
      <c r="D95" s="10">
        <v>19.399999999999999</v>
      </c>
      <c r="E95" s="13">
        <v>295</v>
      </c>
      <c r="F95" s="8">
        <v>73090128299</v>
      </c>
      <c r="G95" s="12" t="s">
        <v>505</v>
      </c>
      <c r="H95" s="11" t="s">
        <v>1131</v>
      </c>
      <c r="I95" s="11" t="s">
        <v>1131</v>
      </c>
      <c r="J95" s="12" t="s">
        <v>1097</v>
      </c>
      <c r="K95" s="8" t="s">
        <v>1084</v>
      </c>
      <c r="L95" s="8" t="s">
        <v>185</v>
      </c>
      <c r="M95" s="28">
        <v>23.049071999999999</v>
      </c>
      <c r="N95" s="28">
        <v>-81.581620999999998</v>
      </c>
      <c r="O95" s="15"/>
    </row>
    <row r="96" spans="2:15" ht="30">
      <c r="B96" s="8">
        <v>2783</v>
      </c>
      <c r="C96" s="8">
        <v>24013347</v>
      </c>
      <c r="D96" s="10">
        <v>15.7</v>
      </c>
      <c r="E96" s="13">
        <v>1199.7</v>
      </c>
      <c r="F96" s="8">
        <v>94111231540</v>
      </c>
      <c r="G96" s="12" t="s">
        <v>674</v>
      </c>
      <c r="H96" s="11" t="s">
        <v>1140</v>
      </c>
      <c r="I96" s="11" t="s">
        <v>1140</v>
      </c>
      <c r="J96" s="12" t="s">
        <v>1100</v>
      </c>
      <c r="K96" s="8" t="s">
        <v>1084</v>
      </c>
      <c r="L96" s="8" t="s">
        <v>185</v>
      </c>
      <c r="M96" s="28">
        <v>23.037758</v>
      </c>
      <c r="N96" s="28">
        <v>-81.531454999999994</v>
      </c>
      <c r="O96" s="15"/>
    </row>
    <row r="97" spans="2:15" ht="30">
      <c r="B97" s="8">
        <v>2783</v>
      </c>
      <c r="C97" s="8">
        <v>24013349</v>
      </c>
      <c r="D97" s="10">
        <v>18.399999999999999</v>
      </c>
      <c r="E97" s="13">
        <v>295</v>
      </c>
      <c r="F97" s="8">
        <v>98070708999</v>
      </c>
      <c r="G97" s="12" t="s">
        <v>680</v>
      </c>
      <c r="H97" s="11" t="s">
        <v>1142</v>
      </c>
      <c r="I97" s="11" t="s">
        <v>1142</v>
      </c>
      <c r="J97" s="12" t="s">
        <v>1102</v>
      </c>
      <c r="K97" s="8" t="s">
        <v>1084</v>
      </c>
      <c r="L97" s="8" t="s">
        <v>185</v>
      </c>
      <c r="M97" s="28">
        <v>23.037413999999998</v>
      </c>
      <c r="N97" s="28">
        <v>-81.523111</v>
      </c>
      <c r="O97" s="15"/>
    </row>
    <row r="98" spans="2:15" ht="30">
      <c r="B98" s="8">
        <v>2783</v>
      </c>
      <c r="C98" s="8">
        <v>24013371</v>
      </c>
      <c r="D98" s="10">
        <v>24.7</v>
      </c>
      <c r="E98" s="13">
        <v>1932.6</v>
      </c>
      <c r="F98" s="8">
        <v>95010231406</v>
      </c>
      <c r="G98" s="12" t="s">
        <v>742</v>
      </c>
      <c r="H98" s="11" t="s">
        <v>1164</v>
      </c>
      <c r="I98" s="11" t="s">
        <v>1164</v>
      </c>
      <c r="J98" s="12" t="s">
        <v>1103</v>
      </c>
      <c r="K98" s="8" t="s">
        <v>1084</v>
      </c>
      <c r="L98" s="8" t="s">
        <v>185</v>
      </c>
      <c r="M98" s="28">
        <v>23.052361000000001</v>
      </c>
      <c r="N98" s="28">
        <v>-81.588089999999994</v>
      </c>
      <c r="O98" s="15"/>
    </row>
    <row r="99" spans="2:15" ht="30">
      <c r="B99" s="8">
        <v>2783</v>
      </c>
      <c r="C99" s="8">
        <v>24013381</v>
      </c>
      <c r="D99" s="10">
        <v>0.82</v>
      </c>
      <c r="E99" s="13">
        <v>295</v>
      </c>
      <c r="F99" s="8">
        <v>5052868970</v>
      </c>
      <c r="G99" s="12" t="s">
        <v>444</v>
      </c>
      <c r="H99" s="11" t="s">
        <v>1172</v>
      </c>
      <c r="I99" s="11" t="s">
        <v>1172</v>
      </c>
      <c r="J99" s="12" t="s">
        <v>1091</v>
      </c>
      <c r="K99" s="8" t="s">
        <v>1084</v>
      </c>
      <c r="L99" s="8" t="s">
        <v>185</v>
      </c>
      <c r="M99" s="28">
        <v>23.035536</v>
      </c>
      <c r="N99" s="28">
        <v>-81.525245999999996</v>
      </c>
      <c r="O99" s="15"/>
    </row>
    <row r="100" spans="2:15" ht="30">
      <c r="B100" s="8">
        <v>2783</v>
      </c>
      <c r="C100" s="8">
        <v>24013410</v>
      </c>
      <c r="D100" s="10">
        <v>18.5</v>
      </c>
      <c r="E100" s="13">
        <v>2159.4</v>
      </c>
      <c r="F100" s="8">
        <v>4092068896</v>
      </c>
      <c r="G100" s="12" t="s">
        <v>796</v>
      </c>
      <c r="H100" s="11" t="s">
        <v>1182</v>
      </c>
      <c r="I100" s="11" t="s">
        <v>1182</v>
      </c>
      <c r="J100" s="12" t="s">
        <v>1101</v>
      </c>
      <c r="K100" s="8" t="s">
        <v>1084</v>
      </c>
      <c r="L100" s="8" t="s">
        <v>185</v>
      </c>
      <c r="M100" s="28">
        <v>23.034634</v>
      </c>
      <c r="N100" s="28">
        <v>-81.567992000000004</v>
      </c>
      <c r="O100" s="15"/>
    </row>
    <row r="101" spans="2:15" ht="30">
      <c r="B101" s="8">
        <v>2783</v>
      </c>
      <c r="C101" s="8">
        <v>24013411</v>
      </c>
      <c r="D101" s="10">
        <v>27.04</v>
      </c>
      <c r="E101" s="13">
        <v>2159.4</v>
      </c>
      <c r="F101" s="8">
        <v>4092068896</v>
      </c>
      <c r="G101" s="12" t="s">
        <v>796</v>
      </c>
      <c r="H101" s="11" t="s">
        <v>1182</v>
      </c>
      <c r="I101" s="11" t="s">
        <v>1182</v>
      </c>
      <c r="J101" s="12" t="s">
        <v>1101</v>
      </c>
      <c r="K101" s="8" t="s">
        <v>1084</v>
      </c>
      <c r="L101" s="8" t="s">
        <v>185</v>
      </c>
      <c r="M101" s="28">
        <v>23.034634</v>
      </c>
      <c r="N101" s="28">
        <v>-81.567992000000004</v>
      </c>
      <c r="O101" s="15"/>
    </row>
    <row r="102" spans="2:15" ht="30">
      <c r="B102" s="8">
        <v>2783</v>
      </c>
      <c r="C102" s="8">
        <v>24013412</v>
      </c>
      <c r="D102" s="10">
        <v>20.82</v>
      </c>
      <c r="E102" s="13">
        <v>2386.1999999999998</v>
      </c>
      <c r="F102" s="8">
        <v>81090709150</v>
      </c>
      <c r="G102" s="12" t="s">
        <v>798</v>
      </c>
      <c r="H102" s="11" t="s">
        <v>1183</v>
      </c>
      <c r="I102" s="11" t="s">
        <v>1183</v>
      </c>
      <c r="J102" s="12" t="s">
        <v>1101</v>
      </c>
      <c r="K102" s="8" t="s">
        <v>1084</v>
      </c>
      <c r="L102" s="8" t="s">
        <v>185</v>
      </c>
      <c r="M102" s="28">
        <v>23.034634</v>
      </c>
      <c r="N102" s="28">
        <v>-81.567992000000004</v>
      </c>
      <c r="O102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1B75-6658-4455-B766-74A70D6592A3}">
  <dimension ref="B2:F419"/>
  <sheetViews>
    <sheetView topLeftCell="D37" workbookViewId="0">
      <selection activeCell="D56" sqref="D56"/>
    </sheetView>
  </sheetViews>
  <sheetFormatPr baseColWidth="10" defaultRowHeight="14.25"/>
  <cols>
    <col min="1" max="1" width="2.625" customWidth="1"/>
    <col min="2" max="2" width="11.875" bestFit="1" customWidth="1"/>
    <col min="3" max="3" width="45" bestFit="1" customWidth="1"/>
    <col min="4" max="4" width="142.75" bestFit="1" customWidth="1"/>
  </cols>
  <sheetData>
    <row r="2" spans="2:6">
      <c r="B2" s="24" t="s">
        <v>1346</v>
      </c>
      <c r="C2" s="24" t="s">
        <v>1347</v>
      </c>
      <c r="D2" s="24" t="s">
        <v>257</v>
      </c>
      <c r="E2" s="24" t="s">
        <v>1196</v>
      </c>
      <c r="F2" s="24" t="s">
        <v>1197</v>
      </c>
    </row>
    <row r="3" spans="2:6">
      <c r="B3">
        <v>1</v>
      </c>
      <c r="C3" t="s">
        <v>1348</v>
      </c>
      <c r="E3">
        <v>23.114773</v>
      </c>
      <c r="F3">
        <v>-81.879063000000002</v>
      </c>
    </row>
    <row r="4" spans="2:6">
      <c r="B4">
        <v>1</v>
      </c>
      <c r="C4" t="s">
        <v>1349</v>
      </c>
      <c r="E4">
        <v>20.176998000000001</v>
      </c>
      <c r="F4">
        <v>-76.235480999999993</v>
      </c>
    </row>
    <row r="5" spans="2:6">
      <c r="B5">
        <v>2</v>
      </c>
      <c r="C5" t="s">
        <v>1350</v>
      </c>
      <c r="E5">
        <v>23.035896999999999</v>
      </c>
      <c r="F5">
        <v>-81.536353000000005</v>
      </c>
    </row>
    <row r="6" spans="2:6">
      <c r="B6">
        <v>2</v>
      </c>
      <c r="C6" t="s">
        <v>1351</v>
      </c>
      <c r="E6">
        <v>20.178349999999998</v>
      </c>
      <c r="F6">
        <v>-76.234969000000007</v>
      </c>
    </row>
    <row r="7" spans="2:6">
      <c r="B7">
        <v>20665692</v>
      </c>
      <c r="C7" t="s">
        <v>130</v>
      </c>
      <c r="D7" t="s">
        <v>904</v>
      </c>
      <c r="E7">
        <v>23.157923</v>
      </c>
      <c r="F7">
        <v>-82.326390000000004</v>
      </c>
    </row>
    <row r="8" spans="2:6">
      <c r="B8">
        <v>40981694</v>
      </c>
      <c r="C8" t="s">
        <v>474</v>
      </c>
      <c r="D8" t="s">
        <v>1019</v>
      </c>
      <c r="E8">
        <v>20.228899999999999</v>
      </c>
      <c r="F8">
        <v>-76.003268000000006</v>
      </c>
    </row>
    <row r="9" spans="2:6">
      <c r="B9">
        <v>92980571</v>
      </c>
      <c r="C9" t="s">
        <v>72</v>
      </c>
      <c r="D9" t="s">
        <v>962</v>
      </c>
      <c r="E9">
        <v>20.337520000000001</v>
      </c>
      <c r="F9">
        <v>-77.136700000000005</v>
      </c>
    </row>
    <row r="10" spans="2:6">
      <c r="B10">
        <v>102077062</v>
      </c>
      <c r="C10" t="s">
        <v>1352</v>
      </c>
      <c r="D10" t="s">
        <v>1353</v>
      </c>
      <c r="E10">
        <v>21.202539000000002</v>
      </c>
      <c r="F10">
        <v>-76.601912999999996</v>
      </c>
    </row>
    <row r="11" spans="2:6">
      <c r="B11">
        <v>111381478</v>
      </c>
      <c r="C11" t="s">
        <v>1354</v>
      </c>
      <c r="D11" t="s">
        <v>1355</v>
      </c>
      <c r="E11">
        <v>20.022846999999999</v>
      </c>
      <c r="F11">
        <v>-75.812849999999997</v>
      </c>
    </row>
    <row r="12" spans="2:6">
      <c r="B12">
        <v>122268811</v>
      </c>
      <c r="C12" t="s">
        <v>1356</v>
      </c>
      <c r="D12" t="s">
        <v>1357</v>
      </c>
      <c r="E12">
        <v>23.0653805</v>
      </c>
      <c r="F12">
        <v>-82.334337500000004</v>
      </c>
    </row>
    <row r="13" spans="2:6">
      <c r="B13">
        <v>1061861785</v>
      </c>
      <c r="C13" t="s">
        <v>1358</v>
      </c>
      <c r="D13" t="s">
        <v>1680</v>
      </c>
      <c r="E13">
        <v>20.230820999999999</v>
      </c>
      <c r="F13">
        <v>-76.006557999999998</v>
      </c>
    </row>
    <row r="14" spans="2:6">
      <c r="B14">
        <v>1101872234</v>
      </c>
      <c r="C14" t="s">
        <v>1359</v>
      </c>
      <c r="D14" t="s">
        <v>1360</v>
      </c>
      <c r="E14">
        <v>22.809403</v>
      </c>
      <c r="F14">
        <v>-80.065996999999996</v>
      </c>
    </row>
    <row r="15" spans="2:6">
      <c r="B15">
        <v>1102782967</v>
      </c>
      <c r="C15" t="s">
        <v>282</v>
      </c>
      <c r="D15" t="s">
        <v>1016</v>
      </c>
      <c r="E15">
        <v>20.126829000000001</v>
      </c>
      <c r="F15">
        <v>-75.217786000000004</v>
      </c>
    </row>
    <row r="16" spans="2:6">
      <c r="B16">
        <v>1113078583</v>
      </c>
      <c r="C16" t="s">
        <v>44</v>
      </c>
      <c r="D16" t="s">
        <v>857</v>
      </c>
      <c r="E16">
        <v>22.981887</v>
      </c>
      <c r="F16">
        <v>-82.543105999999995</v>
      </c>
    </row>
    <row r="17" spans="2:6">
      <c r="B17">
        <v>2010980975</v>
      </c>
      <c r="C17" t="s">
        <v>483</v>
      </c>
      <c r="D17" t="s">
        <v>956</v>
      </c>
      <c r="E17">
        <v>20.04909</v>
      </c>
      <c r="F17">
        <v>-77.583377999999996</v>
      </c>
    </row>
    <row r="18" spans="2:6">
      <c r="B18">
        <v>2031966415</v>
      </c>
      <c r="C18" t="s">
        <v>101</v>
      </c>
      <c r="D18" t="s">
        <v>1361</v>
      </c>
      <c r="E18">
        <v>23.065141000000001</v>
      </c>
      <c r="F18">
        <v>-82.364304000000004</v>
      </c>
    </row>
    <row r="19" spans="2:6">
      <c r="B19">
        <v>2061367447</v>
      </c>
      <c r="C19" t="s">
        <v>1362</v>
      </c>
      <c r="D19" t="s">
        <v>1357</v>
      </c>
      <c r="E19">
        <v>23.0653805</v>
      </c>
      <c r="F19">
        <v>-82.334337500000004</v>
      </c>
    </row>
    <row r="20" spans="2:6">
      <c r="B20">
        <v>2090878580</v>
      </c>
      <c r="C20" t="s">
        <v>1363</v>
      </c>
      <c r="D20" t="s">
        <v>1364</v>
      </c>
      <c r="E20">
        <v>20.867853</v>
      </c>
      <c r="F20">
        <v>-76.249322000000006</v>
      </c>
    </row>
    <row r="21" spans="2:6">
      <c r="B21">
        <v>3040168170</v>
      </c>
      <c r="C21" t="s">
        <v>689</v>
      </c>
      <c r="D21" t="s">
        <v>1681</v>
      </c>
      <c r="E21">
        <v>23.115801000000001</v>
      </c>
      <c r="F21">
        <v>-82.415150999999994</v>
      </c>
    </row>
    <row r="22" spans="2:6">
      <c r="B22">
        <v>3042468568</v>
      </c>
      <c r="C22" t="s">
        <v>1365</v>
      </c>
      <c r="D22" t="s">
        <v>1366</v>
      </c>
      <c r="E22">
        <v>23.1627464</v>
      </c>
      <c r="F22">
        <v>-82.299479300000002</v>
      </c>
    </row>
    <row r="23" spans="2:6">
      <c r="B23">
        <v>3071678027</v>
      </c>
      <c r="C23" t="s">
        <v>1367</v>
      </c>
      <c r="D23" t="s">
        <v>1675</v>
      </c>
      <c r="E23">
        <v>21.010225999999999</v>
      </c>
      <c r="F23">
        <v>-76.315177000000006</v>
      </c>
    </row>
    <row r="24" spans="2:6">
      <c r="B24">
        <v>3071678028</v>
      </c>
      <c r="C24" t="s">
        <v>1367</v>
      </c>
      <c r="D24" t="s">
        <v>1675</v>
      </c>
      <c r="E24">
        <v>21.010225999999999</v>
      </c>
      <c r="F24">
        <v>-76.315177000000006</v>
      </c>
    </row>
    <row r="25" spans="2:6">
      <c r="B25">
        <v>3081380561</v>
      </c>
      <c r="C25" t="s">
        <v>411</v>
      </c>
      <c r="D25" t="s">
        <v>954</v>
      </c>
      <c r="E25">
        <v>20.338463000000001</v>
      </c>
      <c r="F25">
        <v>-77.112891000000005</v>
      </c>
    </row>
    <row r="26" spans="2:6">
      <c r="B26">
        <v>3120468030</v>
      </c>
      <c r="C26" t="s">
        <v>1368</v>
      </c>
      <c r="D26" t="s">
        <v>1357</v>
      </c>
      <c r="E26">
        <v>23.0653805</v>
      </c>
      <c r="F26">
        <v>-82.334337500000004</v>
      </c>
    </row>
    <row r="27" spans="2:6">
      <c r="B27">
        <v>4011168972</v>
      </c>
      <c r="C27" t="s">
        <v>370</v>
      </c>
      <c r="D27" t="s">
        <v>1094</v>
      </c>
      <c r="E27">
        <v>23.030169999999998</v>
      </c>
      <c r="F27">
        <v>-81.524449000000004</v>
      </c>
    </row>
    <row r="28" spans="2:6">
      <c r="B28">
        <v>4030567282</v>
      </c>
      <c r="C28" t="s">
        <v>1369</v>
      </c>
      <c r="D28" t="s">
        <v>1357</v>
      </c>
      <c r="E28">
        <v>23.0653805</v>
      </c>
      <c r="F28">
        <v>-82.334337500000004</v>
      </c>
    </row>
    <row r="29" spans="2:6">
      <c r="B29">
        <v>4040767282</v>
      </c>
      <c r="C29" t="s">
        <v>1370</v>
      </c>
      <c r="D29" t="s">
        <v>1357</v>
      </c>
      <c r="E29">
        <v>23.0653805</v>
      </c>
      <c r="F29">
        <v>-82.334337500000004</v>
      </c>
    </row>
    <row r="30" spans="2:6">
      <c r="B30">
        <v>4060271691</v>
      </c>
      <c r="C30" t="s">
        <v>1371</v>
      </c>
      <c r="D30" t="s">
        <v>1372</v>
      </c>
      <c r="E30">
        <v>22.464745000000001</v>
      </c>
      <c r="F30">
        <v>-79.720917999999998</v>
      </c>
    </row>
    <row r="31" spans="2:6">
      <c r="B31">
        <v>4060867387</v>
      </c>
      <c r="C31" t="s">
        <v>1373</v>
      </c>
      <c r="D31" t="s">
        <v>1357</v>
      </c>
      <c r="E31">
        <v>23.0653805</v>
      </c>
      <c r="F31">
        <v>-82.334337500000004</v>
      </c>
    </row>
    <row r="32" spans="2:6">
      <c r="B32">
        <v>4070267220</v>
      </c>
      <c r="C32" t="s">
        <v>1374</v>
      </c>
      <c r="D32" t="s">
        <v>1357</v>
      </c>
      <c r="E32">
        <v>23.0653805</v>
      </c>
      <c r="F32">
        <v>-82.334337500000004</v>
      </c>
    </row>
    <row r="33" spans="2:6">
      <c r="B33">
        <v>4092068896</v>
      </c>
      <c r="C33" t="s">
        <v>796</v>
      </c>
      <c r="D33" t="s">
        <v>1101</v>
      </c>
      <c r="E33">
        <v>23.034634</v>
      </c>
      <c r="F33">
        <v>-81.567992000000004</v>
      </c>
    </row>
    <row r="34" spans="2:6">
      <c r="B34">
        <v>4100277921</v>
      </c>
      <c r="C34" t="s">
        <v>1375</v>
      </c>
      <c r="D34" t="s">
        <v>1376</v>
      </c>
      <c r="E34">
        <v>23.0653805</v>
      </c>
      <c r="F34">
        <v>-82.334337500000004</v>
      </c>
    </row>
    <row r="35" spans="2:6">
      <c r="B35">
        <v>5052868970</v>
      </c>
      <c r="C35" t="s">
        <v>444</v>
      </c>
      <c r="D35" t="s">
        <v>1091</v>
      </c>
      <c r="E35">
        <v>23.035536</v>
      </c>
      <c r="F35">
        <v>-81.525245999999996</v>
      </c>
    </row>
    <row r="36" spans="2:6">
      <c r="B36">
        <v>5081867294</v>
      </c>
      <c r="C36" t="s">
        <v>1377</v>
      </c>
      <c r="D36" t="s">
        <v>1357</v>
      </c>
      <c r="E36">
        <v>23.0653805</v>
      </c>
      <c r="F36">
        <v>-82.334337500000004</v>
      </c>
    </row>
    <row r="37" spans="2:6">
      <c r="B37">
        <v>5102168012</v>
      </c>
      <c r="C37" t="s">
        <v>1378</v>
      </c>
      <c r="D37" t="s">
        <v>1357</v>
      </c>
      <c r="E37">
        <v>23.0653805</v>
      </c>
      <c r="F37">
        <v>-82.334337500000004</v>
      </c>
    </row>
    <row r="38" spans="2:6">
      <c r="B38">
        <v>6050666787</v>
      </c>
      <c r="C38" t="s">
        <v>1379</v>
      </c>
      <c r="D38" t="s">
        <v>1357</v>
      </c>
      <c r="E38">
        <v>23.0653805</v>
      </c>
      <c r="F38">
        <v>-82.334337500000004</v>
      </c>
    </row>
    <row r="39" spans="2:6">
      <c r="B39">
        <v>7011058676</v>
      </c>
      <c r="C39" t="s">
        <v>1195</v>
      </c>
      <c r="D39" t="s">
        <v>1096</v>
      </c>
      <c r="E39">
        <v>23.053798</v>
      </c>
      <c r="F39">
        <v>-81.323042000000001</v>
      </c>
    </row>
    <row r="40" spans="2:6">
      <c r="B40">
        <v>7021166717</v>
      </c>
      <c r="C40" t="s">
        <v>28</v>
      </c>
      <c r="D40" t="s">
        <v>858</v>
      </c>
      <c r="E40">
        <v>22.829782000000002</v>
      </c>
      <c r="F40">
        <v>-82.744510000000005</v>
      </c>
    </row>
    <row r="41" spans="2:6">
      <c r="B41">
        <v>8010464428</v>
      </c>
      <c r="C41" t="s">
        <v>1380</v>
      </c>
      <c r="D41" t="s">
        <v>1381</v>
      </c>
      <c r="E41">
        <v>20.132300999999998</v>
      </c>
      <c r="F41">
        <v>-75.204007000000004</v>
      </c>
    </row>
    <row r="42" spans="2:6">
      <c r="B42">
        <v>9102960216</v>
      </c>
      <c r="C42" t="s">
        <v>1382</v>
      </c>
      <c r="D42" t="s">
        <v>1062</v>
      </c>
      <c r="E42">
        <v>22.879549999999998</v>
      </c>
      <c r="F42">
        <v>-80.390933000000004</v>
      </c>
    </row>
    <row r="43" spans="2:6">
      <c r="B43">
        <v>41051923537</v>
      </c>
      <c r="C43" t="s">
        <v>1383</v>
      </c>
      <c r="D43" t="s">
        <v>1384</v>
      </c>
      <c r="E43">
        <v>20.578046000000001</v>
      </c>
      <c r="F43">
        <v>-75.241039999999998</v>
      </c>
    </row>
    <row r="44" spans="2:6">
      <c r="B44">
        <v>42110206390</v>
      </c>
      <c r="C44" t="s">
        <v>330</v>
      </c>
      <c r="D44" t="s">
        <v>893</v>
      </c>
      <c r="E44">
        <v>23.077973</v>
      </c>
      <c r="F44">
        <v>-82.508910999999998</v>
      </c>
    </row>
    <row r="45" spans="2:6">
      <c r="B45">
        <v>42120502502</v>
      </c>
      <c r="C45" t="s">
        <v>1385</v>
      </c>
      <c r="D45" t="s">
        <v>1386</v>
      </c>
      <c r="E45">
        <v>21.929081</v>
      </c>
      <c r="F45">
        <v>-79.430918000000005</v>
      </c>
    </row>
    <row r="46" spans="2:6">
      <c r="B46">
        <v>42121615439</v>
      </c>
      <c r="C46" t="s">
        <v>1387</v>
      </c>
      <c r="D46" t="s">
        <v>1357</v>
      </c>
      <c r="E46">
        <v>23.0653805</v>
      </c>
      <c r="F46">
        <v>-82.334337500000004</v>
      </c>
    </row>
    <row r="47" spans="2:6">
      <c r="B47">
        <v>44060406133</v>
      </c>
      <c r="C47" t="s">
        <v>344</v>
      </c>
      <c r="D47" t="s">
        <v>950</v>
      </c>
      <c r="E47">
        <v>20.893442</v>
      </c>
      <c r="F47">
        <v>-76.259219000000002</v>
      </c>
    </row>
    <row r="48" spans="2:6">
      <c r="B48">
        <v>44092300371</v>
      </c>
      <c r="C48" t="s">
        <v>1388</v>
      </c>
      <c r="D48" t="s">
        <v>1357</v>
      </c>
      <c r="E48">
        <v>23.0653805</v>
      </c>
      <c r="F48">
        <v>-82.334337500000004</v>
      </c>
    </row>
    <row r="49" spans="2:6">
      <c r="B49">
        <v>45061906711</v>
      </c>
      <c r="C49" t="s">
        <v>1389</v>
      </c>
      <c r="D49" t="s">
        <v>1390</v>
      </c>
      <c r="E49">
        <v>20.039695999999999</v>
      </c>
      <c r="F49">
        <v>-75.835267000000002</v>
      </c>
    </row>
    <row r="50" spans="2:6">
      <c r="B50">
        <v>45122607135</v>
      </c>
      <c r="C50" t="s">
        <v>1391</v>
      </c>
      <c r="D50" t="s">
        <v>1392</v>
      </c>
      <c r="E50">
        <v>20.156089000000001</v>
      </c>
      <c r="F50">
        <v>-75.207665000000006</v>
      </c>
    </row>
    <row r="51" spans="2:6">
      <c r="B51">
        <v>46071506449</v>
      </c>
      <c r="C51" t="s">
        <v>356</v>
      </c>
      <c r="D51" t="s">
        <v>1393</v>
      </c>
      <c r="E51">
        <v>21.383011</v>
      </c>
      <c r="F51">
        <v>-77.912215000000003</v>
      </c>
    </row>
    <row r="52" spans="2:6">
      <c r="B52">
        <v>47101711294</v>
      </c>
      <c r="C52" t="s">
        <v>692</v>
      </c>
      <c r="D52" t="s">
        <v>896</v>
      </c>
      <c r="E52">
        <v>23.115801000000001</v>
      </c>
      <c r="F52">
        <v>-82.415150999999994</v>
      </c>
    </row>
    <row r="53" spans="2:6">
      <c r="B53">
        <v>48042302531</v>
      </c>
      <c r="C53" t="s">
        <v>1394</v>
      </c>
      <c r="D53" t="s">
        <v>1395</v>
      </c>
      <c r="E53">
        <v>22.408875999999999</v>
      </c>
      <c r="F53">
        <v>-79.983784</v>
      </c>
    </row>
    <row r="54" spans="2:6">
      <c r="B54">
        <v>49090417130</v>
      </c>
      <c r="C54" t="s">
        <v>481</v>
      </c>
      <c r="D54" t="s">
        <v>1013</v>
      </c>
      <c r="E54">
        <v>20.008329</v>
      </c>
      <c r="F54">
        <v>-75.837294999999997</v>
      </c>
    </row>
    <row r="55" spans="2:6">
      <c r="B55">
        <v>49101007198</v>
      </c>
      <c r="C55" t="s">
        <v>1396</v>
      </c>
      <c r="D55" t="s">
        <v>1397</v>
      </c>
      <c r="E55">
        <v>21.840439</v>
      </c>
      <c r="F55">
        <v>-78.756428999999997</v>
      </c>
    </row>
    <row r="56" spans="2:6">
      <c r="B56">
        <v>49112400684</v>
      </c>
      <c r="C56" t="s">
        <v>1398</v>
      </c>
      <c r="D56" t="s">
        <v>1399</v>
      </c>
      <c r="E56">
        <v>23.123501000000001</v>
      </c>
      <c r="F56">
        <v>-82.374182000000005</v>
      </c>
    </row>
    <row r="57" spans="2:6">
      <c r="B57">
        <v>51081404862</v>
      </c>
      <c r="C57" t="s">
        <v>231</v>
      </c>
      <c r="D57" t="s">
        <v>1063</v>
      </c>
      <c r="E57">
        <v>22.614122999999999</v>
      </c>
      <c r="F57">
        <v>-79.864880999999997</v>
      </c>
    </row>
    <row r="58" spans="2:6">
      <c r="B58">
        <v>51091929335</v>
      </c>
      <c r="C58" t="s">
        <v>788</v>
      </c>
      <c r="D58" t="s">
        <v>910</v>
      </c>
      <c r="E58">
        <v>23.094083000000001</v>
      </c>
      <c r="F58">
        <v>-82.413880000000006</v>
      </c>
    </row>
    <row r="59" spans="2:6">
      <c r="B59">
        <v>51100123531</v>
      </c>
      <c r="C59" t="s">
        <v>51</v>
      </c>
      <c r="D59" t="s">
        <v>856</v>
      </c>
      <c r="E59">
        <v>22.950195000000001</v>
      </c>
      <c r="F59">
        <v>-82.593817000000001</v>
      </c>
    </row>
    <row r="60" spans="2:6">
      <c r="B60">
        <v>53050507099</v>
      </c>
      <c r="C60" t="s">
        <v>1400</v>
      </c>
      <c r="D60" t="s">
        <v>1676</v>
      </c>
      <c r="E60">
        <v>21.401869999999999</v>
      </c>
      <c r="F60">
        <v>-77.875298999999998</v>
      </c>
    </row>
    <row r="61" spans="2:6">
      <c r="B61">
        <v>53101721770</v>
      </c>
      <c r="C61" t="s">
        <v>1401</v>
      </c>
      <c r="D61" t="s">
        <v>1402</v>
      </c>
      <c r="E61">
        <v>21.398690899999998</v>
      </c>
      <c r="F61">
        <v>-77.893880499999995</v>
      </c>
    </row>
    <row r="62" spans="2:6">
      <c r="B62">
        <v>54031502552</v>
      </c>
      <c r="C62" t="s">
        <v>376</v>
      </c>
      <c r="D62" t="s">
        <v>1078</v>
      </c>
      <c r="E62">
        <v>22.391373999999999</v>
      </c>
      <c r="F62">
        <v>-79.956429</v>
      </c>
    </row>
    <row r="63" spans="2:6">
      <c r="B63">
        <v>54041406910</v>
      </c>
      <c r="C63" t="s">
        <v>495</v>
      </c>
      <c r="D63" t="s">
        <v>980</v>
      </c>
      <c r="E63">
        <v>22.670703</v>
      </c>
      <c r="F63">
        <v>-83.568493000000004</v>
      </c>
    </row>
    <row r="64" spans="2:6">
      <c r="B64">
        <v>54112606178</v>
      </c>
      <c r="C64" t="s">
        <v>1403</v>
      </c>
      <c r="D64" t="s">
        <v>1404</v>
      </c>
      <c r="E64">
        <v>20.371413</v>
      </c>
      <c r="F64">
        <v>-76.646454000000006</v>
      </c>
    </row>
    <row r="65" spans="2:6">
      <c r="B65">
        <v>55020303952</v>
      </c>
      <c r="C65" t="s">
        <v>177</v>
      </c>
      <c r="D65" t="s">
        <v>873</v>
      </c>
      <c r="E65">
        <v>23.094321999999998</v>
      </c>
      <c r="F65">
        <v>-82.337342000000007</v>
      </c>
    </row>
    <row r="66" spans="2:6">
      <c r="B66">
        <v>55021101947</v>
      </c>
      <c r="C66" t="s">
        <v>528</v>
      </c>
      <c r="D66" t="s">
        <v>965</v>
      </c>
      <c r="E66">
        <v>22.835650000000001</v>
      </c>
      <c r="F66">
        <v>-82.030754000000002</v>
      </c>
    </row>
    <row r="67" spans="2:6">
      <c r="B67">
        <v>55042800695</v>
      </c>
      <c r="C67" t="s">
        <v>1405</v>
      </c>
      <c r="D67" t="s">
        <v>1406</v>
      </c>
      <c r="E67">
        <v>22.995407100000001</v>
      </c>
      <c r="F67">
        <v>-82.356038900000001</v>
      </c>
    </row>
    <row r="68" spans="2:6">
      <c r="B68">
        <v>55042902536</v>
      </c>
      <c r="C68" t="s">
        <v>362</v>
      </c>
      <c r="D68" t="s">
        <v>1069</v>
      </c>
      <c r="E68">
        <v>21.926306</v>
      </c>
      <c r="F68">
        <v>-79.444694999999996</v>
      </c>
    </row>
    <row r="69" spans="2:6">
      <c r="B69">
        <v>55051507953</v>
      </c>
      <c r="C69" t="s">
        <v>223</v>
      </c>
      <c r="D69" t="s">
        <v>1035</v>
      </c>
      <c r="E69">
        <v>20.032727000000001</v>
      </c>
      <c r="F69">
        <v>-75.833304999999996</v>
      </c>
    </row>
    <row r="70" spans="2:6">
      <c r="B70">
        <v>55051507957</v>
      </c>
      <c r="C70" t="s">
        <v>1407</v>
      </c>
      <c r="D70" t="s">
        <v>1408</v>
      </c>
      <c r="E70">
        <v>20.032419999999998</v>
      </c>
      <c r="F70">
        <v>-75.830167000000003</v>
      </c>
    </row>
    <row r="71" spans="2:6">
      <c r="B71">
        <v>55090805475</v>
      </c>
      <c r="C71" t="s">
        <v>249</v>
      </c>
      <c r="D71" t="s">
        <v>1409</v>
      </c>
      <c r="E71">
        <v>22.405370999999999</v>
      </c>
      <c r="F71">
        <v>-79.945891000000003</v>
      </c>
    </row>
    <row r="72" spans="2:6">
      <c r="B72">
        <v>55090805479</v>
      </c>
      <c r="C72" t="s">
        <v>249</v>
      </c>
      <c r="D72" t="s">
        <v>1080</v>
      </c>
      <c r="E72">
        <v>22.405377999999999</v>
      </c>
      <c r="F72">
        <v>-79.945884000000007</v>
      </c>
    </row>
    <row r="73" spans="2:6">
      <c r="B73">
        <v>56010907559</v>
      </c>
      <c r="C73" t="s">
        <v>488</v>
      </c>
      <c r="D73" t="s">
        <v>990</v>
      </c>
      <c r="E73">
        <v>22.417408600000002</v>
      </c>
      <c r="F73">
        <v>-83.695306500000001</v>
      </c>
    </row>
    <row r="74" spans="2:6">
      <c r="B74">
        <v>56030808490</v>
      </c>
      <c r="C74" t="s">
        <v>736</v>
      </c>
      <c r="D74" t="s">
        <v>1011</v>
      </c>
      <c r="E74">
        <v>20.152798000000001</v>
      </c>
      <c r="F74">
        <v>-75.210156999999995</v>
      </c>
    </row>
    <row r="75" spans="2:6">
      <c r="B75">
        <v>56031703114</v>
      </c>
      <c r="C75" t="s">
        <v>695</v>
      </c>
      <c r="D75" t="s">
        <v>1058</v>
      </c>
      <c r="E75">
        <v>22.468205999999999</v>
      </c>
      <c r="F75">
        <v>-79.720050999999998</v>
      </c>
    </row>
    <row r="76" spans="2:6">
      <c r="B76">
        <v>56070327280</v>
      </c>
      <c r="C76" t="s">
        <v>135</v>
      </c>
      <c r="D76" t="s">
        <v>903</v>
      </c>
      <c r="E76">
        <v>23.149471999999999</v>
      </c>
      <c r="F76">
        <v>-82.301158000000001</v>
      </c>
    </row>
    <row r="77" spans="2:6">
      <c r="B77">
        <v>56080301553</v>
      </c>
      <c r="C77" t="s">
        <v>1410</v>
      </c>
      <c r="D77" t="s">
        <v>1357</v>
      </c>
      <c r="E77">
        <v>23.0653805</v>
      </c>
      <c r="F77">
        <v>-82.334337500000004</v>
      </c>
    </row>
    <row r="78" spans="2:6">
      <c r="B78">
        <v>56082627921</v>
      </c>
      <c r="C78" t="s">
        <v>1411</v>
      </c>
      <c r="D78" t="s">
        <v>1412</v>
      </c>
      <c r="E78">
        <v>22.4304758</v>
      </c>
      <c r="F78">
        <v>-83.594926200000003</v>
      </c>
    </row>
    <row r="79" spans="2:6">
      <c r="B79">
        <v>56090100713</v>
      </c>
      <c r="C79" t="s">
        <v>457</v>
      </c>
      <c r="D79" t="s">
        <v>1017</v>
      </c>
      <c r="E79">
        <v>20.164453000000002</v>
      </c>
      <c r="F79">
        <v>-75.214538000000005</v>
      </c>
    </row>
    <row r="80" spans="2:6">
      <c r="B80">
        <v>56111308717</v>
      </c>
      <c r="C80" t="s">
        <v>447</v>
      </c>
      <c r="D80" t="s">
        <v>888</v>
      </c>
      <c r="E80">
        <v>23.112145000000002</v>
      </c>
      <c r="F80">
        <v>-82.356266000000005</v>
      </c>
    </row>
    <row r="81" spans="2:6">
      <c r="B81">
        <v>57021403868</v>
      </c>
      <c r="C81" t="s">
        <v>1413</v>
      </c>
      <c r="D81" t="s">
        <v>1372</v>
      </c>
      <c r="E81">
        <v>22.464745000000001</v>
      </c>
      <c r="F81">
        <v>-79.720917999999998</v>
      </c>
    </row>
    <row r="82" spans="2:6">
      <c r="B82">
        <v>57050500134</v>
      </c>
      <c r="C82" t="s">
        <v>187</v>
      </c>
      <c r="D82" t="s">
        <v>1087</v>
      </c>
      <c r="E82">
        <v>23.029105999999999</v>
      </c>
      <c r="F82">
        <v>-81.193574999999996</v>
      </c>
    </row>
    <row r="83" spans="2:6">
      <c r="B83">
        <v>57072902962</v>
      </c>
      <c r="C83" t="s">
        <v>219</v>
      </c>
      <c r="D83" t="s">
        <v>1033</v>
      </c>
      <c r="E83">
        <v>20.028635999999999</v>
      </c>
      <c r="F83">
        <v>-75.821949000000004</v>
      </c>
    </row>
    <row r="84" spans="2:6">
      <c r="B84">
        <v>57101900045</v>
      </c>
      <c r="C84" t="s">
        <v>191</v>
      </c>
      <c r="D84" t="s">
        <v>1088</v>
      </c>
      <c r="E84">
        <v>23.030474000000002</v>
      </c>
      <c r="F84">
        <v>-81.216130000000007</v>
      </c>
    </row>
    <row r="85" spans="2:6">
      <c r="B85">
        <v>58040910124</v>
      </c>
      <c r="C85" t="s">
        <v>629</v>
      </c>
      <c r="D85" t="s">
        <v>1004</v>
      </c>
      <c r="E85">
        <v>20.23648</v>
      </c>
      <c r="F85">
        <v>-76.000232999999994</v>
      </c>
    </row>
    <row r="86" spans="2:6">
      <c r="B86">
        <v>58071404481</v>
      </c>
      <c r="C86" t="s">
        <v>322</v>
      </c>
      <c r="D86" t="s">
        <v>989</v>
      </c>
      <c r="E86">
        <v>22.425806999999999</v>
      </c>
      <c r="F86">
        <v>-83.680198000000004</v>
      </c>
    </row>
    <row r="87" spans="2:6">
      <c r="B87">
        <v>58091007089</v>
      </c>
      <c r="C87" t="s">
        <v>182</v>
      </c>
      <c r="D87" t="s">
        <v>1087</v>
      </c>
      <c r="E87">
        <v>23.029105999999999</v>
      </c>
      <c r="F87">
        <v>-81.193574999999996</v>
      </c>
    </row>
    <row r="88" spans="2:6">
      <c r="B88">
        <v>58110705427</v>
      </c>
      <c r="C88" t="s">
        <v>1414</v>
      </c>
      <c r="D88" t="s">
        <v>1415</v>
      </c>
      <c r="E88">
        <v>20.966535</v>
      </c>
      <c r="F88">
        <v>-75.717510000000004</v>
      </c>
    </row>
    <row r="89" spans="2:6">
      <c r="B89">
        <v>59102304892</v>
      </c>
      <c r="C89" t="s">
        <v>294</v>
      </c>
      <c r="D89" t="s">
        <v>985</v>
      </c>
      <c r="E89">
        <v>22.402766</v>
      </c>
      <c r="F89">
        <v>-83.685907999999998</v>
      </c>
    </row>
    <row r="90" spans="2:6">
      <c r="B90">
        <v>59102304893</v>
      </c>
      <c r="C90" t="s">
        <v>294</v>
      </c>
      <c r="D90" t="s">
        <v>985</v>
      </c>
      <c r="E90">
        <v>22.402766</v>
      </c>
      <c r="F90">
        <v>-83.685907999999998</v>
      </c>
    </row>
    <row r="91" spans="2:6">
      <c r="B91">
        <v>59102304894</v>
      </c>
      <c r="C91" t="s">
        <v>294</v>
      </c>
      <c r="D91" t="s">
        <v>985</v>
      </c>
      <c r="E91">
        <v>22.402766</v>
      </c>
      <c r="F91">
        <v>-83.685907999999998</v>
      </c>
    </row>
    <row r="92" spans="2:6">
      <c r="B92">
        <v>59110917413</v>
      </c>
      <c r="C92" t="s">
        <v>408</v>
      </c>
      <c r="D92" t="s">
        <v>1079</v>
      </c>
      <c r="E92">
        <v>22.412562999999999</v>
      </c>
      <c r="F92">
        <v>-79.999122</v>
      </c>
    </row>
    <row r="93" spans="2:6">
      <c r="B93">
        <v>60011300851</v>
      </c>
      <c r="C93" t="s">
        <v>111</v>
      </c>
      <c r="D93" t="s">
        <v>876</v>
      </c>
      <c r="E93">
        <v>22.973935000000001</v>
      </c>
      <c r="F93">
        <v>-82.380505999999997</v>
      </c>
    </row>
    <row r="94" spans="2:6">
      <c r="B94">
        <v>60081313133</v>
      </c>
      <c r="C94" t="s">
        <v>610</v>
      </c>
      <c r="D94" t="s">
        <v>1099</v>
      </c>
      <c r="E94">
        <v>22.680681</v>
      </c>
      <c r="F94">
        <v>-81.118342999999996</v>
      </c>
    </row>
    <row r="95" spans="2:6">
      <c r="B95">
        <v>60121713798</v>
      </c>
      <c r="C95" t="s">
        <v>1416</v>
      </c>
      <c r="D95" t="s">
        <v>1357</v>
      </c>
      <c r="E95">
        <v>23.0653805</v>
      </c>
      <c r="F95">
        <v>-82.334337500000004</v>
      </c>
    </row>
    <row r="96" spans="2:6">
      <c r="B96">
        <v>61020628370</v>
      </c>
      <c r="C96" t="s">
        <v>739</v>
      </c>
      <c r="D96" t="s">
        <v>1417</v>
      </c>
      <c r="E96">
        <v>22.435141000000002</v>
      </c>
      <c r="F96">
        <v>-83.740053000000003</v>
      </c>
    </row>
    <row r="97" spans="2:6">
      <c r="B97">
        <v>61062015597</v>
      </c>
      <c r="C97" t="s">
        <v>1418</v>
      </c>
      <c r="D97" t="s">
        <v>1372</v>
      </c>
      <c r="E97">
        <v>22.464745000000001</v>
      </c>
      <c r="F97">
        <v>-79.720917999999998</v>
      </c>
    </row>
    <row r="98" spans="2:6">
      <c r="B98">
        <v>61082311379</v>
      </c>
      <c r="C98" t="s">
        <v>1419</v>
      </c>
      <c r="D98" t="s">
        <v>1420</v>
      </c>
      <c r="E98">
        <v>23.06748</v>
      </c>
      <c r="F98">
        <v>-82.377733500000005</v>
      </c>
    </row>
    <row r="99" spans="2:6">
      <c r="B99">
        <v>61110500979</v>
      </c>
      <c r="C99" t="s">
        <v>373</v>
      </c>
      <c r="D99" t="s">
        <v>1421</v>
      </c>
      <c r="E99">
        <v>23.152699999999999</v>
      </c>
      <c r="F99">
        <v>-82.305841000000001</v>
      </c>
    </row>
    <row r="100" spans="2:6">
      <c r="B100">
        <v>61110805874</v>
      </c>
      <c r="C100" t="s">
        <v>406</v>
      </c>
      <c r="D100" t="s">
        <v>897</v>
      </c>
      <c r="E100">
        <v>23.079301999999998</v>
      </c>
      <c r="F100">
        <v>-82.433862000000005</v>
      </c>
    </row>
    <row r="101" spans="2:6">
      <c r="B101">
        <v>62010404971</v>
      </c>
      <c r="C101" t="s">
        <v>490</v>
      </c>
      <c r="D101" t="s">
        <v>990</v>
      </c>
      <c r="E101">
        <v>22.417408600000002</v>
      </c>
      <c r="F101">
        <v>-83.695306500000001</v>
      </c>
    </row>
    <row r="102" spans="2:6">
      <c r="B102">
        <v>62021804237</v>
      </c>
      <c r="C102" t="s">
        <v>492</v>
      </c>
      <c r="D102" t="s">
        <v>1082</v>
      </c>
      <c r="E102">
        <v>22.392790999999999</v>
      </c>
      <c r="F102">
        <v>-79.949355999999995</v>
      </c>
    </row>
    <row r="103" spans="2:6">
      <c r="B103">
        <v>62032525924</v>
      </c>
      <c r="C103" t="s">
        <v>227</v>
      </c>
      <c r="D103" t="s">
        <v>1061</v>
      </c>
      <c r="E103">
        <v>22.645755999999999</v>
      </c>
      <c r="F103">
        <v>-80.046893999999995</v>
      </c>
    </row>
    <row r="104" spans="2:6">
      <c r="B104">
        <v>62050600610</v>
      </c>
      <c r="C104" t="s">
        <v>35</v>
      </c>
      <c r="D104" t="s">
        <v>859</v>
      </c>
      <c r="E104">
        <v>22.815594000000001</v>
      </c>
      <c r="F104">
        <v>-82.751733999999999</v>
      </c>
    </row>
    <row r="105" spans="2:6">
      <c r="B105">
        <v>62061814832</v>
      </c>
      <c r="C105" t="s">
        <v>154</v>
      </c>
      <c r="D105" t="s">
        <v>908</v>
      </c>
      <c r="E105">
        <v>23.070526999999998</v>
      </c>
      <c r="F105">
        <v>-82.437963999999994</v>
      </c>
    </row>
    <row r="106" spans="2:6">
      <c r="B106">
        <v>62072916215</v>
      </c>
      <c r="C106" t="s">
        <v>718</v>
      </c>
      <c r="D106" t="s">
        <v>1059</v>
      </c>
      <c r="E106">
        <v>22.464995999999999</v>
      </c>
      <c r="F106">
        <v>-79.727716999999998</v>
      </c>
    </row>
    <row r="107" spans="2:6">
      <c r="B107">
        <v>62090105040</v>
      </c>
      <c r="C107" t="s">
        <v>1422</v>
      </c>
      <c r="D107" t="s">
        <v>1423</v>
      </c>
      <c r="E107">
        <v>21.843330999999999</v>
      </c>
      <c r="F107">
        <v>-78.759963999999997</v>
      </c>
    </row>
    <row r="108" spans="2:6">
      <c r="B108">
        <v>62090601046</v>
      </c>
      <c r="C108" t="s">
        <v>1424</v>
      </c>
      <c r="D108" t="s">
        <v>1357</v>
      </c>
      <c r="E108">
        <v>23.0653805</v>
      </c>
      <c r="F108">
        <v>-82.334337500000004</v>
      </c>
    </row>
    <row r="109" spans="2:6">
      <c r="B109">
        <v>62092610724</v>
      </c>
      <c r="C109" t="s">
        <v>1425</v>
      </c>
      <c r="D109" t="s">
        <v>1357</v>
      </c>
      <c r="E109">
        <v>23.0653805</v>
      </c>
      <c r="F109">
        <v>-82.334337500000004</v>
      </c>
    </row>
    <row r="110" spans="2:6">
      <c r="B110">
        <v>62100712727</v>
      </c>
      <c r="C110" t="s">
        <v>1426</v>
      </c>
      <c r="D110" t="s">
        <v>1427</v>
      </c>
      <c r="E110">
        <v>21.087299000000002</v>
      </c>
      <c r="F110">
        <v>-75.781554999999997</v>
      </c>
    </row>
    <row r="111" spans="2:6">
      <c r="B111">
        <v>62111505311</v>
      </c>
      <c r="C111" t="s">
        <v>465</v>
      </c>
      <c r="D111" t="s">
        <v>975</v>
      </c>
      <c r="E111">
        <v>22.176167</v>
      </c>
      <c r="F111">
        <v>-83.968584000000007</v>
      </c>
    </row>
    <row r="112" spans="2:6">
      <c r="B112">
        <v>62121325276</v>
      </c>
      <c r="C112" t="s">
        <v>1428</v>
      </c>
      <c r="D112" t="s">
        <v>1429</v>
      </c>
      <c r="E112">
        <v>22.132671999999999</v>
      </c>
      <c r="F112">
        <v>-80.429873000000001</v>
      </c>
    </row>
    <row r="113" spans="2:6">
      <c r="B113">
        <v>62123007086</v>
      </c>
      <c r="C113" t="s">
        <v>627</v>
      </c>
      <c r="D113" t="s">
        <v>877</v>
      </c>
      <c r="E113">
        <v>23.065225999999999</v>
      </c>
      <c r="F113">
        <v>-82.387797000000006</v>
      </c>
    </row>
    <row r="114" spans="2:6">
      <c r="B114">
        <v>63020424902</v>
      </c>
      <c r="C114" t="s">
        <v>1430</v>
      </c>
      <c r="D114" t="s">
        <v>1431</v>
      </c>
      <c r="E114">
        <v>21.005267</v>
      </c>
      <c r="F114">
        <v>-76.049177</v>
      </c>
    </row>
    <row r="115" spans="2:6">
      <c r="B115">
        <v>63032411868</v>
      </c>
      <c r="C115" t="s">
        <v>1432</v>
      </c>
      <c r="D115" t="s">
        <v>1433</v>
      </c>
      <c r="E115">
        <v>20.035896000000001</v>
      </c>
      <c r="F115">
        <v>-75.833324000000005</v>
      </c>
    </row>
    <row r="116" spans="2:6">
      <c r="B116">
        <v>63042205528</v>
      </c>
      <c r="C116" t="s">
        <v>1434</v>
      </c>
      <c r="D116" t="s">
        <v>1435</v>
      </c>
      <c r="E116">
        <v>22.801749999999998</v>
      </c>
      <c r="F116">
        <v>-80.068954000000005</v>
      </c>
    </row>
    <row r="117" spans="2:6">
      <c r="B117">
        <v>63061815235</v>
      </c>
      <c r="C117" t="s">
        <v>325</v>
      </c>
      <c r="D117" t="s">
        <v>1436</v>
      </c>
      <c r="E117">
        <v>23.085554999999999</v>
      </c>
      <c r="F117">
        <v>-82.305795000000003</v>
      </c>
    </row>
    <row r="118" spans="2:6">
      <c r="B118">
        <v>63072920718</v>
      </c>
      <c r="C118" t="s">
        <v>1437</v>
      </c>
      <c r="D118" t="s">
        <v>854</v>
      </c>
      <c r="E118">
        <v>22.820765999999999</v>
      </c>
      <c r="F118">
        <v>-82.754622999999995</v>
      </c>
    </row>
    <row r="119" spans="2:6">
      <c r="B119">
        <v>63082130098</v>
      </c>
      <c r="C119" t="s">
        <v>485</v>
      </c>
      <c r="D119" t="s">
        <v>990</v>
      </c>
      <c r="E119">
        <v>22.417408600000002</v>
      </c>
      <c r="F119">
        <v>-83.695306500000001</v>
      </c>
    </row>
    <row r="120" spans="2:6">
      <c r="B120">
        <v>63090605154</v>
      </c>
      <c r="C120" t="s">
        <v>607</v>
      </c>
      <c r="D120" t="s">
        <v>898</v>
      </c>
      <c r="E120">
        <v>23.110424999999999</v>
      </c>
      <c r="F120">
        <v>-82.420255999999995</v>
      </c>
    </row>
    <row r="121" spans="2:6">
      <c r="B121">
        <v>63101022051</v>
      </c>
      <c r="C121" t="s">
        <v>351</v>
      </c>
      <c r="D121" t="s">
        <v>1077</v>
      </c>
      <c r="E121">
        <v>22.409130999999999</v>
      </c>
      <c r="F121">
        <v>-79.966277000000005</v>
      </c>
    </row>
    <row r="122" spans="2:6">
      <c r="B122">
        <v>63121806629</v>
      </c>
      <c r="C122" t="s">
        <v>706</v>
      </c>
      <c r="D122" t="s">
        <v>934</v>
      </c>
      <c r="E122">
        <v>20.961397999999999</v>
      </c>
      <c r="F122">
        <v>-75.710521</v>
      </c>
    </row>
    <row r="123" spans="2:6">
      <c r="B123">
        <v>64021700114</v>
      </c>
      <c r="C123" t="s">
        <v>1438</v>
      </c>
      <c r="D123" t="s">
        <v>1439</v>
      </c>
      <c r="E123">
        <v>22.842980300000001</v>
      </c>
      <c r="F123">
        <v>-82.024365700000004</v>
      </c>
    </row>
    <row r="124" spans="2:6">
      <c r="B124">
        <v>64022006937</v>
      </c>
      <c r="C124" t="s">
        <v>1442</v>
      </c>
      <c r="D124" t="s">
        <v>1443</v>
      </c>
      <c r="E124">
        <v>22.722339999999999</v>
      </c>
      <c r="F124">
        <v>-80.900546000000006</v>
      </c>
    </row>
    <row r="125" spans="2:6">
      <c r="B125">
        <v>64022006937</v>
      </c>
      <c r="C125" t="s">
        <v>1440</v>
      </c>
      <c r="D125" t="s">
        <v>1441</v>
      </c>
      <c r="E125">
        <v>20.213194999999999</v>
      </c>
      <c r="F125">
        <v>-75.994029999999995</v>
      </c>
    </row>
    <row r="126" spans="2:6">
      <c r="B126">
        <v>64031200815</v>
      </c>
      <c r="C126" t="s">
        <v>1444</v>
      </c>
      <c r="D126" t="s">
        <v>1431</v>
      </c>
      <c r="E126">
        <v>21.005267</v>
      </c>
      <c r="F126">
        <v>-76.049177</v>
      </c>
    </row>
    <row r="127" spans="2:6">
      <c r="B127">
        <v>64061500805</v>
      </c>
      <c r="C127" t="s">
        <v>460</v>
      </c>
      <c r="D127" t="s">
        <v>1026</v>
      </c>
      <c r="E127">
        <v>20.001740000000002</v>
      </c>
      <c r="F127">
        <v>-75.769357999999997</v>
      </c>
    </row>
    <row r="128" spans="2:6">
      <c r="B128">
        <v>64071008130</v>
      </c>
      <c r="C128" t="s">
        <v>810</v>
      </c>
      <c r="D128" t="s">
        <v>1105</v>
      </c>
      <c r="E128">
        <v>21.370677000000001</v>
      </c>
      <c r="F128">
        <v>-77.902994000000007</v>
      </c>
    </row>
    <row r="129" spans="2:6">
      <c r="B129">
        <v>64081908536</v>
      </c>
      <c r="C129" t="s">
        <v>1445</v>
      </c>
      <c r="D129" t="s">
        <v>1446</v>
      </c>
      <c r="E129">
        <v>34.6075126</v>
      </c>
      <c r="F129">
        <v>-98.392046199999996</v>
      </c>
    </row>
    <row r="130" spans="2:6">
      <c r="B130">
        <v>64082613435</v>
      </c>
      <c r="C130" t="s">
        <v>1447</v>
      </c>
      <c r="D130" t="s">
        <v>1448</v>
      </c>
      <c r="E130">
        <v>20.887142000000001</v>
      </c>
      <c r="F130">
        <v>-76.254715000000004</v>
      </c>
    </row>
    <row r="131" spans="2:6">
      <c r="B131">
        <v>64091605651</v>
      </c>
      <c r="C131" t="s">
        <v>1449</v>
      </c>
      <c r="D131" t="s">
        <v>1450</v>
      </c>
      <c r="E131">
        <v>21.84037</v>
      </c>
      <c r="F131">
        <v>-78.760157000000007</v>
      </c>
    </row>
    <row r="132" spans="2:6">
      <c r="B132">
        <v>64101228135</v>
      </c>
      <c r="C132" t="s">
        <v>1451</v>
      </c>
      <c r="D132" t="s">
        <v>880</v>
      </c>
      <c r="E132">
        <v>23.136191</v>
      </c>
      <c r="F132">
        <v>-82.368228999999999</v>
      </c>
    </row>
    <row r="133" spans="2:6">
      <c r="B133">
        <v>64101932954</v>
      </c>
      <c r="C133" t="s">
        <v>166</v>
      </c>
      <c r="D133" t="s">
        <v>849</v>
      </c>
      <c r="E133">
        <v>23.090313999999999</v>
      </c>
      <c r="F133">
        <v>-82.455618999999999</v>
      </c>
    </row>
    <row r="134" spans="2:6">
      <c r="B134">
        <v>64110218529</v>
      </c>
      <c r="C134" t="s">
        <v>1452</v>
      </c>
      <c r="D134" t="s">
        <v>1453</v>
      </c>
      <c r="E134">
        <v>20.147013999999999</v>
      </c>
      <c r="F134">
        <v>-75.212860000000006</v>
      </c>
    </row>
    <row r="135" spans="2:6">
      <c r="B135">
        <v>64112213096</v>
      </c>
      <c r="C135" t="s">
        <v>1454</v>
      </c>
      <c r="D135" t="s">
        <v>1390</v>
      </c>
      <c r="E135">
        <v>20.039695999999999</v>
      </c>
      <c r="F135">
        <v>-75.835267000000002</v>
      </c>
    </row>
    <row r="136" spans="2:6">
      <c r="B136">
        <v>65030600401</v>
      </c>
      <c r="C136" t="s">
        <v>414</v>
      </c>
      <c r="D136" t="s">
        <v>993</v>
      </c>
      <c r="E136">
        <v>22.428183600000001</v>
      </c>
      <c r="F136">
        <v>-83.674261999999999</v>
      </c>
    </row>
    <row r="137" spans="2:6">
      <c r="B137">
        <v>65042403255</v>
      </c>
      <c r="C137" t="s">
        <v>500</v>
      </c>
      <c r="D137" t="s">
        <v>1092</v>
      </c>
      <c r="E137">
        <v>23.040671</v>
      </c>
      <c r="F137">
        <v>-81.521643999999995</v>
      </c>
    </row>
    <row r="138" spans="2:6">
      <c r="B138">
        <v>65070809095</v>
      </c>
      <c r="C138" t="s">
        <v>597</v>
      </c>
      <c r="D138" t="s">
        <v>927</v>
      </c>
      <c r="E138">
        <v>20.876197000000001</v>
      </c>
      <c r="F138">
        <v>-76.257707999999994</v>
      </c>
    </row>
    <row r="139" spans="2:6">
      <c r="B139">
        <v>65081403713</v>
      </c>
      <c r="C139" t="s">
        <v>1455</v>
      </c>
      <c r="D139" t="s">
        <v>1456</v>
      </c>
      <c r="E139">
        <v>23.062744899999998</v>
      </c>
      <c r="F139">
        <v>-82.445105999999996</v>
      </c>
    </row>
    <row r="140" spans="2:6">
      <c r="B140">
        <v>65100811617</v>
      </c>
      <c r="C140" t="s">
        <v>1457</v>
      </c>
      <c r="D140" t="s">
        <v>1384</v>
      </c>
      <c r="E140">
        <v>20.578046000000001</v>
      </c>
      <c r="F140">
        <v>-75.241039999999998</v>
      </c>
    </row>
    <row r="141" spans="2:6">
      <c r="B141">
        <v>65101304095</v>
      </c>
      <c r="C141" t="s">
        <v>341</v>
      </c>
      <c r="D141" t="s">
        <v>949</v>
      </c>
      <c r="E141">
        <v>20.887875000000001</v>
      </c>
      <c r="F141">
        <v>-76.266542999999999</v>
      </c>
    </row>
    <row r="142" spans="2:6">
      <c r="B142">
        <v>65112308670</v>
      </c>
      <c r="C142" t="s">
        <v>470</v>
      </c>
      <c r="D142" t="s">
        <v>1067</v>
      </c>
      <c r="E142">
        <v>21.937131000000001</v>
      </c>
      <c r="F142">
        <v>-79.434122000000002</v>
      </c>
    </row>
    <row r="143" spans="2:6">
      <c r="B143">
        <v>65121323263</v>
      </c>
      <c r="C143" t="s">
        <v>1458</v>
      </c>
      <c r="D143" t="s">
        <v>1459</v>
      </c>
      <c r="E143">
        <v>20.954847999999998</v>
      </c>
      <c r="F143">
        <v>-76.967206000000004</v>
      </c>
    </row>
    <row r="144" spans="2:6">
      <c r="B144">
        <v>66011609788</v>
      </c>
      <c r="C144" t="s">
        <v>1460</v>
      </c>
      <c r="D144" t="s">
        <v>1461</v>
      </c>
      <c r="E144">
        <v>20.289007000000002</v>
      </c>
      <c r="F144">
        <v>-74.434719999999999</v>
      </c>
    </row>
    <row r="145" spans="2:6">
      <c r="B145">
        <v>66030408078</v>
      </c>
      <c r="C145" t="s">
        <v>783</v>
      </c>
      <c r="D145" t="s">
        <v>942</v>
      </c>
      <c r="E145">
        <v>20.365067</v>
      </c>
      <c r="F145">
        <v>-76.637073999999998</v>
      </c>
    </row>
    <row r="146" spans="2:6">
      <c r="B146">
        <v>66032208432</v>
      </c>
      <c r="C146" t="s">
        <v>428</v>
      </c>
      <c r="D146" t="s">
        <v>976</v>
      </c>
      <c r="E146">
        <v>22.516123</v>
      </c>
      <c r="F146">
        <v>-83.421931000000001</v>
      </c>
    </row>
    <row r="147" spans="2:6">
      <c r="B147">
        <v>66060800111</v>
      </c>
      <c r="C147" t="s">
        <v>715</v>
      </c>
      <c r="D147" t="s">
        <v>1462</v>
      </c>
      <c r="E147">
        <v>20.125610999999999</v>
      </c>
      <c r="F147">
        <v>-75.218005000000005</v>
      </c>
    </row>
    <row r="148" spans="2:6">
      <c r="B148">
        <v>66060800111</v>
      </c>
      <c r="C148" t="s">
        <v>715</v>
      </c>
      <c r="D148" t="s">
        <v>1010</v>
      </c>
      <c r="E148">
        <v>20.163440999999999</v>
      </c>
      <c r="F148">
        <v>-75.217629000000002</v>
      </c>
    </row>
    <row r="149" spans="2:6">
      <c r="B149">
        <v>66061109631</v>
      </c>
      <c r="C149" t="s">
        <v>476</v>
      </c>
      <c r="D149" t="s">
        <v>1037</v>
      </c>
      <c r="E149">
        <v>20.037465000000001</v>
      </c>
      <c r="F149">
        <v>-75.823600999999996</v>
      </c>
    </row>
    <row r="150" spans="2:6">
      <c r="B150">
        <v>66061808633</v>
      </c>
      <c r="C150" t="s">
        <v>745</v>
      </c>
      <c r="D150" t="s">
        <v>862</v>
      </c>
      <c r="E150">
        <v>21.844382</v>
      </c>
      <c r="F150">
        <v>-78.752646999999996</v>
      </c>
    </row>
    <row r="151" spans="2:6">
      <c r="B151">
        <v>66061808633</v>
      </c>
      <c r="C151" t="s">
        <v>745</v>
      </c>
      <c r="D151" t="s">
        <v>1463</v>
      </c>
      <c r="E151">
        <v>21.844401999999999</v>
      </c>
      <c r="F151">
        <v>-78.75273</v>
      </c>
    </row>
    <row r="152" spans="2:6">
      <c r="B152">
        <v>66070419899</v>
      </c>
      <c r="C152" t="s">
        <v>1464</v>
      </c>
      <c r="D152" t="s">
        <v>1357</v>
      </c>
      <c r="E152">
        <v>23.0653805</v>
      </c>
      <c r="F152">
        <v>-82.334337500000004</v>
      </c>
    </row>
    <row r="153" spans="2:6">
      <c r="B153">
        <v>66072705610</v>
      </c>
      <c r="C153" t="s">
        <v>305</v>
      </c>
      <c r="D153" t="s">
        <v>986</v>
      </c>
      <c r="E153">
        <v>22.412486999999999</v>
      </c>
      <c r="F153">
        <v>-83.704600999999997</v>
      </c>
    </row>
    <row r="154" spans="2:6">
      <c r="B154">
        <v>66073027675</v>
      </c>
      <c r="C154" t="s">
        <v>126</v>
      </c>
      <c r="D154" t="s">
        <v>887</v>
      </c>
      <c r="E154">
        <v>23.091892000000001</v>
      </c>
      <c r="F154">
        <v>-82.358976999999996</v>
      </c>
    </row>
    <row r="155" spans="2:6">
      <c r="B155">
        <v>66081923746</v>
      </c>
      <c r="C155" t="s">
        <v>753</v>
      </c>
      <c r="D155" t="s">
        <v>1465</v>
      </c>
      <c r="E155">
        <v>22.4163408</v>
      </c>
      <c r="F155">
        <v>-83.698278400000007</v>
      </c>
    </row>
    <row r="156" spans="2:6">
      <c r="B156">
        <v>66081923746</v>
      </c>
      <c r="C156" t="s">
        <v>753</v>
      </c>
      <c r="D156" t="s">
        <v>983</v>
      </c>
      <c r="E156">
        <v>22.437242000000001</v>
      </c>
      <c r="F156">
        <v>-83.690117999999998</v>
      </c>
    </row>
    <row r="157" spans="2:6">
      <c r="B157">
        <v>66083001825</v>
      </c>
      <c r="C157" t="s">
        <v>116</v>
      </c>
      <c r="D157" t="s">
        <v>878</v>
      </c>
      <c r="E157">
        <v>23.142116000000001</v>
      </c>
      <c r="F157">
        <v>-82.377350000000007</v>
      </c>
    </row>
    <row r="158" spans="2:6">
      <c r="B158">
        <v>66100730080</v>
      </c>
      <c r="C158" t="s">
        <v>278</v>
      </c>
      <c r="D158" t="s">
        <v>865</v>
      </c>
      <c r="E158">
        <v>22.277000000000001</v>
      </c>
      <c r="F158">
        <v>-80.565066000000002</v>
      </c>
    </row>
    <row r="159" spans="2:6">
      <c r="B159">
        <v>66110820113</v>
      </c>
      <c r="C159" t="s">
        <v>1466</v>
      </c>
      <c r="D159" t="s">
        <v>1467</v>
      </c>
      <c r="E159">
        <v>20.293500999999999</v>
      </c>
      <c r="F159">
        <v>-76.254007000000001</v>
      </c>
    </row>
    <row r="160" spans="2:6">
      <c r="B160">
        <v>66110820413</v>
      </c>
      <c r="C160" t="s">
        <v>1466</v>
      </c>
      <c r="D160" t="s">
        <v>1467</v>
      </c>
      <c r="E160">
        <v>20.293500999999999</v>
      </c>
      <c r="F160">
        <v>-76.254007000000001</v>
      </c>
    </row>
    <row r="161" spans="2:6">
      <c r="B161">
        <v>66111310932</v>
      </c>
      <c r="C161" t="s">
        <v>683</v>
      </c>
      <c r="D161" t="s">
        <v>1008</v>
      </c>
      <c r="E161">
        <v>20.144341000000001</v>
      </c>
      <c r="F161">
        <v>-75.204724999999996</v>
      </c>
    </row>
    <row r="162" spans="2:6">
      <c r="B162">
        <v>66122502681</v>
      </c>
      <c r="C162" t="s">
        <v>332</v>
      </c>
      <c r="D162" t="s">
        <v>893</v>
      </c>
      <c r="E162">
        <v>23.077973</v>
      </c>
      <c r="F162">
        <v>-82.508910999999998</v>
      </c>
    </row>
    <row r="163" spans="2:6">
      <c r="B163">
        <v>67012307061</v>
      </c>
      <c r="C163" t="s">
        <v>396</v>
      </c>
      <c r="D163" t="s">
        <v>1031</v>
      </c>
      <c r="E163">
        <v>20.366567</v>
      </c>
      <c r="F163">
        <v>-75.913719999999998</v>
      </c>
    </row>
    <row r="164" spans="2:6">
      <c r="B164">
        <v>67072714561</v>
      </c>
      <c r="C164" t="s">
        <v>1468</v>
      </c>
      <c r="D164" t="s">
        <v>1469</v>
      </c>
      <c r="E164">
        <v>20.962240000000001</v>
      </c>
      <c r="F164">
        <v>-75.722296999999998</v>
      </c>
    </row>
    <row r="165" spans="2:6">
      <c r="B165">
        <v>67081917451</v>
      </c>
      <c r="C165" t="s">
        <v>534</v>
      </c>
      <c r="D165" t="s">
        <v>1029</v>
      </c>
      <c r="E165">
        <v>20.19041</v>
      </c>
      <c r="F165">
        <v>-75.147661999999997</v>
      </c>
    </row>
    <row r="166" spans="2:6">
      <c r="B166">
        <v>67100816479</v>
      </c>
      <c r="C166" t="s">
        <v>1470</v>
      </c>
      <c r="D166" t="s">
        <v>1471</v>
      </c>
      <c r="E166">
        <v>22.283771999999999</v>
      </c>
      <c r="F166">
        <v>-80.355380999999994</v>
      </c>
    </row>
    <row r="167" spans="2:6">
      <c r="B167">
        <v>67120121200</v>
      </c>
      <c r="C167" t="s">
        <v>1472</v>
      </c>
      <c r="D167" t="s">
        <v>1473</v>
      </c>
      <c r="E167">
        <v>20.371939999999999</v>
      </c>
      <c r="F167">
        <v>-76.428498000000005</v>
      </c>
    </row>
    <row r="168" spans="2:6">
      <c r="B168">
        <v>67121109332</v>
      </c>
      <c r="C168" t="s">
        <v>1474</v>
      </c>
      <c r="D168" t="s">
        <v>1475</v>
      </c>
      <c r="E168">
        <v>20.164429999999999</v>
      </c>
      <c r="F168">
        <v>-75.218171999999996</v>
      </c>
    </row>
    <row r="169" spans="2:6">
      <c r="B169">
        <v>68011327952</v>
      </c>
      <c r="C169" t="s">
        <v>1476</v>
      </c>
      <c r="D169" t="s">
        <v>1477</v>
      </c>
      <c r="E169">
        <v>20.338303</v>
      </c>
      <c r="F169">
        <v>-74.486331000000007</v>
      </c>
    </row>
    <row r="170" spans="2:6">
      <c r="B170">
        <v>68032608135</v>
      </c>
      <c r="C170" t="s">
        <v>403</v>
      </c>
      <c r="D170" t="s">
        <v>979</v>
      </c>
      <c r="E170">
        <v>22.516389</v>
      </c>
      <c r="F170">
        <v>-83.414315999999999</v>
      </c>
    </row>
    <row r="171" spans="2:6">
      <c r="B171">
        <v>68053112019</v>
      </c>
      <c r="C171" t="s">
        <v>313</v>
      </c>
      <c r="D171" t="s">
        <v>1027</v>
      </c>
      <c r="E171">
        <v>20.039694000000001</v>
      </c>
      <c r="F171">
        <v>-75.835229999999996</v>
      </c>
    </row>
    <row r="172" spans="2:6">
      <c r="B172">
        <v>68092830093</v>
      </c>
      <c r="C172" t="s">
        <v>1478</v>
      </c>
      <c r="D172" t="s">
        <v>1461</v>
      </c>
      <c r="E172">
        <v>20.289007000000002</v>
      </c>
      <c r="F172">
        <v>-74.434719999999999</v>
      </c>
    </row>
    <row r="173" spans="2:6">
      <c r="B173">
        <v>68100811088</v>
      </c>
      <c r="C173" t="s">
        <v>1479</v>
      </c>
      <c r="D173" t="s">
        <v>1480</v>
      </c>
      <c r="E173">
        <v>20.01549</v>
      </c>
      <c r="F173">
        <v>-75.806151999999997</v>
      </c>
    </row>
    <row r="174" spans="2:6">
      <c r="B174">
        <v>68102024116</v>
      </c>
      <c r="C174" t="s">
        <v>1481</v>
      </c>
      <c r="D174" t="s">
        <v>1482</v>
      </c>
      <c r="E174">
        <v>21.087299000000002</v>
      </c>
      <c r="F174">
        <v>-75.781554999999997</v>
      </c>
    </row>
    <row r="175" spans="2:6">
      <c r="B175">
        <v>68110729518</v>
      </c>
      <c r="C175" t="s">
        <v>644</v>
      </c>
      <c r="D175" t="s">
        <v>971</v>
      </c>
      <c r="E175">
        <v>22.411100999999999</v>
      </c>
      <c r="F175">
        <v>-83.705669999999998</v>
      </c>
    </row>
    <row r="176" spans="2:6">
      <c r="B176">
        <v>69020608495</v>
      </c>
      <c r="C176" t="s">
        <v>418</v>
      </c>
      <c r="D176" t="s">
        <v>981</v>
      </c>
      <c r="E176">
        <v>22.451699000000001</v>
      </c>
      <c r="F176">
        <v>-83.904520000000005</v>
      </c>
    </row>
    <row r="177" spans="2:6">
      <c r="B177">
        <v>69022813965</v>
      </c>
      <c r="C177" t="s">
        <v>338</v>
      </c>
      <c r="D177" t="s">
        <v>1483</v>
      </c>
      <c r="E177">
        <v>20.893862500000001</v>
      </c>
      <c r="F177">
        <v>-76.253245699999994</v>
      </c>
    </row>
    <row r="178" spans="2:6">
      <c r="B178">
        <v>69031606618</v>
      </c>
      <c r="C178" t="s">
        <v>1484</v>
      </c>
      <c r="D178" t="s">
        <v>1485</v>
      </c>
      <c r="E178">
        <v>20.049886000000001</v>
      </c>
      <c r="F178">
        <v>-75.828951000000004</v>
      </c>
    </row>
    <row r="179" spans="2:6">
      <c r="B179">
        <v>69053014976</v>
      </c>
      <c r="C179" t="s">
        <v>434</v>
      </c>
      <c r="D179" t="s">
        <v>1081</v>
      </c>
      <c r="E179">
        <v>22.399381000000002</v>
      </c>
      <c r="F179">
        <v>-79.958901999999995</v>
      </c>
    </row>
    <row r="180" spans="2:6">
      <c r="B180">
        <v>69060108215</v>
      </c>
      <c r="C180" t="s">
        <v>1486</v>
      </c>
      <c r="D180" t="s">
        <v>1487</v>
      </c>
      <c r="E180">
        <v>22.773361999999999</v>
      </c>
      <c r="F180">
        <v>-83.728408000000002</v>
      </c>
    </row>
    <row r="181" spans="2:6">
      <c r="B181">
        <v>69061927345</v>
      </c>
      <c r="C181" t="s">
        <v>1488</v>
      </c>
      <c r="D181" t="s">
        <v>1489</v>
      </c>
      <c r="E181">
        <v>23.1192393</v>
      </c>
      <c r="F181">
        <v>-82.383732800000004</v>
      </c>
    </row>
    <row r="182" spans="2:6">
      <c r="B182">
        <v>69062118583</v>
      </c>
      <c r="C182" t="s">
        <v>353</v>
      </c>
      <c r="D182" t="s">
        <v>1021</v>
      </c>
      <c r="E182">
        <v>20.299901999999999</v>
      </c>
      <c r="F182">
        <v>-76.243095999999994</v>
      </c>
    </row>
    <row r="183" spans="2:6">
      <c r="B183">
        <v>69091702814</v>
      </c>
      <c r="C183" t="s">
        <v>385</v>
      </c>
      <c r="D183" t="s">
        <v>890</v>
      </c>
      <c r="E183">
        <v>23.123097000000001</v>
      </c>
      <c r="F183">
        <v>-82.392708999999996</v>
      </c>
    </row>
    <row r="184" spans="2:6">
      <c r="B184">
        <v>69111432818</v>
      </c>
      <c r="C184" t="s">
        <v>479</v>
      </c>
      <c r="D184" t="s">
        <v>883</v>
      </c>
      <c r="E184">
        <v>23.101438000000002</v>
      </c>
      <c r="F184">
        <v>-82.383177000000003</v>
      </c>
    </row>
    <row r="185" spans="2:6">
      <c r="B185">
        <v>69120509294</v>
      </c>
      <c r="C185" t="s">
        <v>1490</v>
      </c>
      <c r="D185" t="s">
        <v>1491</v>
      </c>
      <c r="E185">
        <v>21.199379</v>
      </c>
      <c r="F185">
        <v>-77.453371000000004</v>
      </c>
    </row>
    <row r="186" spans="2:6">
      <c r="B186">
        <v>69120810742</v>
      </c>
      <c r="C186" t="s">
        <v>432</v>
      </c>
      <c r="D186" t="s">
        <v>1014</v>
      </c>
      <c r="E186">
        <v>20.039439999999999</v>
      </c>
      <c r="F186">
        <v>-75.824966000000003</v>
      </c>
    </row>
    <row r="187" spans="2:6">
      <c r="B187">
        <v>69122004818</v>
      </c>
      <c r="C187" t="s">
        <v>1492</v>
      </c>
      <c r="D187" t="s">
        <v>1372</v>
      </c>
      <c r="E187">
        <v>22.464745000000001</v>
      </c>
      <c r="F187">
        <v>-79.720917999999998</v>
      </c>
    </row>
    <row r="188" spans="2:6">
      <c r="B188">
        <v>70010415863</v>
      </c>
      <c r="C188" t="s">
        <v>439</v>
      </c>
      <c r="D188" t="s">
        <v>892</v>
      </c>
      <c r="E188">
        <v>23.107008</v>
      </c>
      <c r="F188">
        <v>-82.402465000000007</v>
      </c>
    </row>
    <row r="189" spans="2:6">
      <c r="B189">
        <v>70011901582</v>
      </c>
      <c r="C189" t="s">
        <v>805</v>
      </c>
      <c r="D189" t="s">
        <v>901</v>
      </c>
      <c r="E189">
        <v>23.124866999999998</v>
      </c>
      <c r="F189">
        <v>-82.297515000000004</v>
      </c>
    </row>
    <row r="190" spans="2:6">
      <c r="B190">
        <v>70020614948</v>
      </c>
      <c r="C190" t="s">
        <v>830</v>
      </c>
      <c r="D190" t="s">
        <v>882</v>
      </c>
      <c r="E190">
        <v>23.122108000000001</v>
      </c>
      <c r="F190">
        <v>-82.380523999999994</v>
      </c>
    </row>
    <row r="191" spans="2:6">
      <c r="B191">
        <v>70041211593</v>
      </c>
      <c r="C191" t="s">
        <v>1493</v>
      </c>
      <c r="D191" t="s">
        <v>1003</v>
      </c>
      <c r="E191">
        <v>20.018689999999999</v>
      </c>
      <c r="F191">
        <v>-75.816205999999994</v>
      </c>
    </row>
    <row r="192" spans="2:6">
      <c r="B192">
        <v>70051801251</v>
      </c>
      <c r="C192" t="s">
        <v>1494</v>
      </c>
      <c r="D192" t="s">
        <v>1357</v>
      </c>
      <c r="E192">
        <v>23.0653805</v>
      </c>
      <c r="F192">
        <v>-82.334337500000004</v>
      </c>
    </row>
    <row r="193" spans="2:6">
      <c r="B193">
        <v>70052418263</v>
      </c>
      <c r="C193" t="s">
        <v>1495</v>
      </c>
      <c r="D193" t="s">
        <v>1357</v>
      </c>
      <c r="E193">
        <v>23.0653805</v>
      </c>
      <c r="F193">
        <v>-82.334337500000004</v>
      </c>
    </row>
    <row r="194" spans="2:6">
      <c r="B194">
        <v>70062027179</v>
      </c>
      <c r="C194" t="s">
        <v>748</v>
      </c>
      <c r="D194" t="s">
        <v>1496</v>
      </c>
      <c r="E194">
        <v>20.875336000000001</v>
      </c>
      <c r="F194">
        <v>-76.242756</v>
      </c>
    </row>
    <row r="195" spans="2:6">
      <c r="B195">
        <v>70062027179</v>
      </c>
      <c r="C195" t="s">
        <v>748</v>
      </c>
      <c r="D195" t="s">
        <v>938</v>
      </c>
      <c r="E195">
        <v>20.880928000000001</v>
      </c>
      <c r="F195">
        <v>-76.246446000000006</v>
      </c>
    </row>
    <row r="196" spans="2:6">
      <c r="B196">
        <v>70062726985</v>
      </c>
      <c r="C196" t="s">
        <v>777</v>
      </c>
      <c r="D196" t="s">
        <v>941</v>
      </c>
      <c r="E196">
        <v>21.161014999999999</v>
      </c>
      <c r="F196">
        <v>-76.477005000000005</v>
      </c>
    </row>
    <row r="197" spans="2:6">
      <c r="B197">
        <v>70062814102</v>
      </c>
      <c r="C197" t="s">
        <v>677</v>
      </c>
      <c r="D197" t="s">
        <v>889</v>
      </c>
      <c r="E197">
        <v>23.078330999999999</v>
      </c>
      <c r="F197">
        <v>-82.325205999999994</v>
      </c>
    </row>
    <row r="198" spans="2:6">
      <c r="B198">
        <v>70070206999</v>
      </c>
      <c r="C198" t="s">
        <v>1497</v>
      </c>
      <c r="D198" t="s">
        <v>1498</v>
      </c>
      <c r="E198">
        <v>23.111580199999999</v>
      </c>
      <c r="F198">
        <v>-82.380966999999998</v>
      </c>
    </row>
    <row r="199" spans="2:6">
      <c r="B199">
        <v>70100814147</v>
      </c>
      <c r="C199" t="s">
        <v>823</v>
      </c>
      <c r="D199" t="s">
        <v>944</v>
      </c>
      <c r="E199">
        <v>20.882155000000001</v>
      </c>
      <c r="F199">
        <v>-76.267230999999995</v>
      </c>
    </row>
    <row r="200" spans="2:6">
      <c r="B200">
        <v>71021618944</v>
      </c>
      <c r="C200" t="s">
        <v>1499</v>
      </c>
      <c r="D200" t="s">
        <v>1500</v>
      </c>
      <c r="E200">
        <v>20.190646999999998</v>
      </c>
      <c r="F200">
        <v>-75.851753000000002</v>
      </c>
    </row>
    <row r="201" spans="2:6">
      <c r="B201">
        <v>71050609972</v>
      </c>
      <c r="C201" t="s">
        <v>526</v>
      </c>
      <c r="D201" t="s">
        <v>959</v>
      </c>
      <c r="E201">
        <v>20.670024999999999</v>
      </c>
      <c r="F201">
        <v>-75.258142000000007</v>
      </c>
    </row>
    <row r="202" spans="2:6">
      <c r="B202">
        <v>71052329950</v>
      </c>
      <c r="C202" t="s">
        <v>55</v>
      </c>
      <c r="D202" t="s">
        <v>855</v>
      </c>
      <c r="E202">
        <v>22.714661</v>
      </c>
      <c r="F202">
        <v>-83.045163000000002</v>
      </c>
    </row>
    <row r="203" spans="2:6">
      <c r="B203">
        <v>71071000387</v>
      </c>
      <c r="C203" t="s">
        <v>1501</v>
      </c>
      <c r="D203" t="s">
        <v>1502</v>
      </c>
      <c r="E203">
        <v>23.040178000000001</v>
      </c>
      <c r="F203">
        <v>-81.206450000000004</v>
      </c>
    </row>
    <row r="204" spans="2:6">
      <c r="B204">
        <v>71071122799</v>
      </c>
      <c r="C204" t="s">
        <v>309</v>
      </c>
      <c r="D204" t="s">
        <v>947</v>
      </c>
      <c r="E204">
        <v>20.954537999999999</v>
      </c>
      <c r="F204">
        <v>-76.954515999999998</v>
      </c>
    </row>
    <row r="205" spans="2:6">
      <c r="B205">
        <v>71082511993</v>
      </c>
      <c r="C205" t="s">
        <v>319</v>
      </c>
      <c r="D205" t="s">
        <v>1034</v>
      </c>
      <c r="E205">
        <v>20.014994999999999</v>
      </c>
      <c r="F205">
        <v>-75.828520999999995</v>
      </c>
    </row>
    <row r="206" spans="2:6">
      <c r="B206">
        <v>71100700274</v>
      </c>
      <c r="C206" t="s">
        <v>1503</v>
      </c>
      <c r="D206" t="s">
        <v>1504</v>
      </c>
      <c r="E206">
        <v>22.522317999999999</v>
      </c>
      <c r="F206">
        <v>-81.135250999999997</v>
      </c>
    </row>
    <row r="207" spans="2:6">
      <c r="B207">
        <v>71111302712</v>
      </c>
      <c r="C207" t="s">
        <v>1505</v>
      </c>
      <c r="D207" t="s">
        <v>1506</v>
      </c>
      <c r="E207">
        <v>22.809443999999999</v>
      </c>
      <c r="F207">
        <v>-80.065905000000001</v>
      </c>
    </row>
    <row r="208" spans="2:6">
      <c r="B208">
        <v>71112104955</v>
      </c>
      <c r="C208" t="s">
        <v>437</v>
      </c>
      <c r="D208" t="s">
        <v>992</v>
      </c>
      <c r="E208">
        <v>22.414960000000001</v>
      </c>
      <c r="F208">
        <v>-83.678122999999999</v>
      </c>
    </row>
    <row r="209" spans="2:6">
      <c r="B209">
        <v>71121407784</v>
      </c>
      <c r="C209" t="s">
        <v>383</v>
      </c>
      <c r="D209" t="s">
        <v>1507</v>
      </c>
      <c r="E209">
        <v>21.379168</v>
      </c>
      <c r="F209">
        <v>-77.925943000000004</v>
      </c>
    </row>
    <row r="210" spans="2:6">
      <c r="B210">
        <v>71121908497</v>
      </c>
      <c r="C210" t="s">
        <v>508</v>
      </c>
      <c r="D210" t="s">
        <v>907</v>
      </c>
      <c r="E210">
        <v>23.060040999999998</v>
      </c>
      <c r="F210">
        <v>-82.468214000000003</v>
      </c>
    </row>
    <row r="211" spans="2:6">
      <c r="B211">
        <v>72022143771</v>
      </c>
      <c r="C211" t="s">
        <v>367</v>
      </c>
      <c r="D211" t="s">
        <v>1039</v>
      </c>
      <c r="E211">
        <v>20.015238</v>
      </c>
      <c r="F211">
        <v>-75.833042000000006</v>
      </c>
    </row>
    <row r="212" spans="2:6">
      <c r="B212">
        <v>72042710734</v>
      </c>
      <c r="C212" t="s">
        <v>1508</v>
      </c>
      <c r="D212" t="s">
        <v>1509</v>
      </c>
      <c r="E212" s="25">
        <v>0</v>
      </c>
      <c r="F212" s="25">
        <v>0</v>
      </c>
    </row>
    <row r="213" spans="2:6">
      <c r="B213">
        <v>72082904878</v>
      </c>
      <c r="C213" t="s">
        <v>1510</v>
      </c>
      <c r="D213" t="s">
        <v>1511</v>
      </c>
      <c r="E213">
        <v>22.398727000000001</v>
      </c>
      <c r="F213">
        <v>-79.953620999999998</v>
      </c>
    </row>
    <row r="214" spans="2:6">
      <c r="B214">
        <v>72093000807</v>
      </c>
      <c r="C214" t="s">
        <v>1512</v>
      </c>
      <c r="D214" t="s">
        <v>1357</v>
      </c>
      <c r="E214">
        <v>23.0653805</v>
      </c>
      <c r="F214">
        <v>-82.334337500000004</v>
      </c>
    </row>
    <row r="215" spans="2:6">
      <c r="B215">
        <v>72121014239</v>
      </c>
      <c r="C215" t="s">
        <v>817</v>
      </c>
      <c r="D215" t="s">
        <v>1062</v>
      </c>
      <c r="E215">
        <v>22.879549999999998</v>
      </c>
      <c r="F215">
        <v>-80.390933000000004</v>
      </c>
    </row>
    <row r="216" spans="2:6">
      <c r="B216">
        <v>73020204009</v>
      </c>
      <c r="C216" t="s">
        <v>204</v>
      </c>
      <c r="D216" t="s">
        <v>984</v>
      </c>
      <c r="E216">
        <v>22.437259000000001</v>
      </c>
      <c r="F216">
        <v>-83.690078</v>
      </c>
    </row>
    <row r="217" spans="2:6">
      <c r="B217">
        <v>73031714538</v>
      </c>
      <c r="C217" t="s">
        <v>1513</v>
      </c>
      <c r="D217" t="s">
        <v>1514</v>
      </c>
      <c r="E217" s="25">
        <v>0</v>
      </c>
      <c r="F217" s="25">
        <v>0</v>
      </c>
    </row>
    <row r="218" spans="2:6">
      <c r="B218">
        <v>73050604116</v>
      </c>
      <c r="C218" t="s">
        <v>60</v>
      </c>
      <c r="D218" t="s">
        <v>866</v>
      </c>
      <c r="E218">
        <v>22.133112300000001</v>
      </c>
      <c r="F218">
        <v>-80.442728799999998</v>
      </c>
    </row>
    <row r="219" spans="2:6">
      <c r="B219">
        <v>73080718076</v>
      </c>
      <c r="C219" t="s">
        <v>92</v>
      </c>
      <c r="D219" t="s">
        <v>1515</v>
      </c>
      <c r="E219">
        <v>20.879411999999999</v>
      </c>
      <c r="F219">
        <v>-76.245239999999995</v>
      </c>
    </row>
    <row r="220" spans="2:6">
      <c r="B220">
        <v>73081209567</v>
      </c>
      <c r="C220" t="s">
        <v>1516</v>
      </c>
      <c r="D220" t="s">
        <v>1517</v>
      </c>
      <c r="E220" s="25">
        <v>0</v>
      </c>
      <c r="F220" s="25">
        <v>0</v>
      </c>
    </row>
    <row r="221" spans="2:6">
      <c r="B221">
        <v>73081404426</v>
      </c>
      <c r="C221" t="s">
        <v>1518</v>
      </c>
      <c r="D221" t="s">
        <v>1395</v>
      </c>
      <c r="E221">
        <v>22.408875999999999</v>
      </c>
      <c r="F221">
        <v>-79.983784</v>
      </c>
    </row>
    <row r="222" spans="2:6">
      <c r="B222">
        <v>73090128299</v>
      </c>
      <c r="C222" t="s">
        <v>505</v>
      </c>
      <c r="D222" t="s">
        <v>1090</v>
      </c>
      <c r="E222">
        <v>23.049071999999999</v>
      </c>
      <c r="F222">
        <v>-81.581620999999998</v>
      </c>
    </row>
    <row r="223" spans="2:6">
      <c r="B223">
        <v>73102828076</v>
      </c>
      <c r="C223" t="s">
        <v>1519</v>
      </c>
      <c r="D223" t="s">
        <v>1520</v>
      </c>
      <c r="E223">
        <v>22.106244</v>
      </c>
      <c r="F223">
        <v>-78.627030000000005</v>
      </c>
    </row>
    <row r="224" spans="2:6">
      <c r="B224">
        <v>73112308599</v>
      </c>
      <c r="C224" t="s">
        <v>727</v>
      </c>
      <c r="D224" t="s">
        <v>936</v>
      </c>
      <c r="E224">
        <v>20.651634000000001</v>
      </c>
      <c r="F224">
        <v>-75.679851999999997</v>
      </c>
    </row>
    <row r="225" spans="2:6">
      <c r="B225">
        <v>73112308599</v>
      </c>
      <c r="C225" t="s">
        <v>727</v>
      </c>
      <c r="D225" t="s">
        <v>1521</v>
      </c>
      <c r="E225">
        <v>20.651619</v>
      </c>
      <c r="F225">
        <v>-75.679862</v>
      </c>
    </row>
    <row r="226" spans="2:6">
      <c r="B226">
        <v>73121912020</v>
      </c>
      <c r="C226" t="s">
        <v>1522</v>
      </c>
      <c r="D226" t="s">
        <v>1523</v>
      </c>
      <c r="E226">
        <v>23.06748</v>
      </c>
      <c r="F226">
        <v>-82.377733500000005</v>
      </c>
    </row>
    <row r="227" spans="2:6">
      <c r="B227">
        <v>74051813571</v>
      </c>
      <c r="C227" t="s">
        <v>730</v>
      </c>
      <c r="D227" t="s">
        <v>1524</v>
      </c>
      <c r="E227">
        <v>20.339673999999999</v>
      </c>
      <c r="F227">
        <v>-77.140970999999993</v>
      </c>
    </row>
    <row r="228" spans="2:6">
      <c r="B228">
        <v>74051813571</v>
      </c>
      <c r="C228" t="s">
        <v>730</v>
      </c>
      <c r="D228" t="s">
        <v>937</v>
      </c>
      <c r="E228">
        <v>20.339675</v>
      </c>
      <c r="F228">
        <v>-77.140974</v>
      </c>
    </row>
    <row r="229" spans="2:6">
      <c r="B229">
        <v>74051913208</v>
      </c>
      <c r="C229" t="s">
        <v>1525</v>
      </c>
      <c r="D229" t="s">
        <v>1526</v>
      </c>
      <c r="E229">
        <v>20.382673</v>
      </c>
      <c r="F229">
        <v>-76.642957999999993</v>
      </c>
    </row>
    <row r="230" spans="2:6">
      <c r="B230">
        <v>74072535251</v>
      </c>
      <c r="C230" t="s">
        <v>1527</v>
      </c>
      <c r="D230" t="s">
        <v>1528</v>
      </c>
      <c r="E230">
        <v>20.9553373</v>
      </c>
      <c r="F230">
        <v>-76.9588222</v>
      </c>
    </row>
    <row r="231" spans="2:6">
      <c r="B231">
        <v>74082500711</v>
      </c>
      <c r="C231" t="s">
        <v>1529</v>
      </c>
      <c r="D231" t="s">
        <v>1530</v>
      </c>
      <c r="E231">
        <v>20.367187000000001</v>
      </c>
      <c r="F231">
        <v>-76.625737000000001</v>
      </c>
    </row>
    <row r="232" spans="2:6">
      <c r="B232">
        <v>74082716370</v>
      </c>
      <c r="C232" t="s">
        <v>346</v>
      </c>
      <c r="D232" t="s">
        <v>951</v>
      </c>
      <c r="E232">
        <v>20.963442000000001</v>
      </c>
      <c r="F232">
        <v>-75.720905000000002</v>
      </c>
    </row>
    <row r="233" spans="2:6">
      <c r="B233">
        <v>74090532722</v>
      </c>
      <c r="C233" t="s">
        <v>1531</v>
      </c>
      <c r="D233" t="s">
        <v>1532</v>
      </c>
      <c r="E233">
        <v>21.811456</v>
      </c>
      <c r="F233">
        <v>-78.682593999999995</v>
      </c>
    </row>
    <row r="234" spans="2:6">
      <c r="B234">
        <v>75031803181</v>
      </c>
      <c r="C234" t="s">
        <v>1533</v>
      </c>
      <c r="D234" t="s">
        <v>1357</v>
      </c>
      <c r="E234">
        <v>23.0653805</v>
      </c>
      <c r="F234">
        <v>-82.334337500000004</v>
      </c>
    </row>
    <row r="235" spans="2:6">
      <c r="B235">
        <v>75050311826</v>
      </c>
      <c r="C235" t="s">
        <v>400</v>
      </c>
      <c r="D235" t="s">
        <v>1040</v>
      </c>
      <c r="E235">
        <v>20.026937</v>
      </c>
      <c r="F235">
        <v>-75.797036000000006</v>
      </c>
    </row>
    <row r="236" spans="2:6">
      <c r="B236">
        <v>75080718414</v>
      </c>
      <c r="C236" t="s">
        <v>518</v>
      </c>
      <c r="D236" t="s">
        <v>958</v>
      </c>
      <c r="E236">
        <v>20.828453</v>
      </c>
      <c r="F236">
        <v>-75.837339</v>
      </c>
    </row>
    <row r="237" spans="2:6">
      <c r="B237">
        <v>75090212711</v>
      </c>
      <c r="C237" t="s">
        <v>664</v>
      </c>
      <c r="D237" t="s">
        <v>1534</v>
      </c>
      <c r="E237">
        <v>20.152187000000001</v>
      </c>
      <c r="F237">
        <v>-75.195053999999999</v>
      </c>
    </row>
    <row r="238" spans="2:6">
      <c r="B238">
        <v>75090212711</v>
      </c>
      <c r="C238" t="s">
        <v>664</v>
      </c>
      <c r="D238" t="s">
        <v>1007</v>
      </c>
      <c r="E238">
        <v>20.152169000000001</v>
      </c>
      <c r="F238">
        <v>-75.194908999999996</v>
      </c>
    </row>
    <row r="239" spans="2:6">
      <c r="B239">
        <v>75102428769</v>
      </c>
      <c r="C239" t="s">
        <v>1535</v>
      </c>
      <c r="D239" t="s">
        <v>1536</v>
      </c>
      <c r="E239">
        <v>22.587375000000002</v>
      </c>
      <c r="F239">
        <v>-80.911951999999999</v>
      </c>
    </row>
    <row r="240" spans="2:6">
      <c r="B240">
        <v>75112803181</v>
      </c>
      <c r="C240" t="s">
        <v>1537</v>
      </c>
      <c r="D240" t="s">
        <v>1357</v>
      </c>
      <c r="E240">
        <v>23.0653805</v>
      </c>
      <c r="F240">
        <v>-82.334337500000004</v>
      </c>
    </row>
    <row r="241" spans="2:6">
      <c r="B241">
        <v>75123103120</v>
      </c>
      <c r="C241" t="s">
        <v>1538</v>
      </c>
      <c r="D241" t="s">
        <v>1357</v>
      </c>
      <c r="E241">
        <v>23.0653805</v>
      </c>
      <c r="F241">
        <v>-82.334337500000004</v>
      </c>
    </row>
    <row r="242" spans="2:6">
      <c r="B242">
        <v>76031814440</v>
      </c>
      <c r="C242" t="s">
        <v>1539</v>
      </c>
      <c r="D242" t="s">
        <v>1540</v>
      </c>
      <c r="E242">
        <v>20.390422999999998</v>
      </c>
      <c r="F242">
        <v>-76.647126</v>
      </c>
    </row>
    <row r="243" spans="2:6">
      <c r="B243">
        <v>76033132234</v>
      </c>
      <c r="C243" t="s">
        <v>771</v>
      </c>
      <c r="D243" t="s">
        <v>940</v>
      </c>
      <c r="E243">
        <v>20.365473000000001</v>
      </c>
      <c r="F243">
        <v>-76.639556999999996</v>
      </c>
    </row>
    <row r="244" spans="2:6">
      <c r="B244">
        <v>76041518428</v>
      </c>
      <c r="C244" t="s">
        <v>1541</v>
      </c>
      <c r="D244" t="s">
        <v>868</v>
      </c>
      <c r="E244">
        <v>21.369592999999998</v>
      </c>
      <c r="F244">
        <v>-77.920025999999993</v>
      </c>
    </row>
    <row r="245" spans="2:6">
      <c r="B245">
        <v>76042403692</v>
      </c>
      <c r="C245" t="s">
        <v>1542</v>
      </c>
      <c r="D245" t="s">
        <v>1357</v>
      </c>
      <c r="E245">
        <v>23.0653805</v>
      </c>
      <c r="F245">
        <v>-82.334337500000004</v>
      </c>
    </row>
    <row r="246" spans="2:6">
      <c r="B246">
        <v>76050303173</v>
      </c>
      <c r="C246" t="s">
        <v>1543</v>
      </c>
      <c r="D246" t="s">
        <v>1357</v>
      </c>
      <c r="E246">
        <v>23.0653805</v>
      </c>
      <c r="F246">
        <v>-82.334337500000004</v>
      </c>
    </row>
    <row r="247" spans="2:6">
      <c r="B247">
        <v>76050411756</v>
      </c>
      <c r="C247" t="s">
        <v>1544</v>
      </c>
      <c r="D247" t="s">
        <v>1545</v>
      </c>
      <c r="E247">
        <v>20.008946999999999</v>
      </c>
      <c r="F247">
        <v>-75.823076999999998</v>
      </c>
    </row>
    <row r="248" spans="2:6">
      <c r="B248">
        <v>76061403172</v>
      </c>
      <c r="C248" t="s">
        <v>667</v>
      </c>
      <c r="D248" t="s">
        <v>1546</v>
      </c>
      <c r="E248">
        <v>21.399850900000001</v>
      </c>
      <c r="F248">
        <v>-77.893540999999999</v>
      </c>
    </row>
    <row r="249" spans="2:6">
      <c r="B249">
        <v>76061403172</v>
      </c>
      <c r="C249" t="s">
        <v>667</v>
      </c>
      <c r="D249" t="s">
        <v>899</v>
      </c>
      <c r="E249">
        <v>23.10981</v>
      </c>
      <c r="F249">
        <v>-82.429642999999999</v>
      </c>
    </row>
    <row r="250" spans="2:6">
      <c r="B250">
        <v>76070712017</v>
      </c>
      <c r="C250" t="s">
        <v>774</v>
      </c>
      <c r="D250" t="s">
        <v>1024</v>
      </c>
      <c r="E250">
        <v>20.012371000000002</v>
      </c>
      <c r="F250">
        <v>-75.773431000000002</v>
      </c>
    </row>
    <row r="251" spans="2:6">
      <c r="B251">
        <v>76082716425</v>
      </c>
      <c r="C251" t="s">
        <v>1547</v>
      </c>
      <c r="D251" t="s">
        <v>1548</v>
      </c>
      <c r="E251">
        <v>20.883703000000001</v>
      </c>
      <c r="F251">
        <v>-76.271838000000002</v>
      </c>
    </row>
    <row r="252" spans="2:6">
      <c r="B252">
        <v>76113014433</v>
      </c>
      <c r="C252" t="s">
        <v>66</v>
      </c>
      <c r="D252" t="s">
        <v>960</v>
      </c>
      <c r="E252">
        <v>20.387584</v>
      </c>
      <c r="F252">
        <v>-76.646164999999996</v>
      </c>
    </row>
    <row r="253" spans="2:6">
      <c r="B253">
        <v>77020812119</v>
      </c>
      <c r="C253" t="s">
        <v>1549</v>
      </c>
      <c r="D253" t="s">
        <v>1550</v>
      </c>
      <c r="E253">
        <v>20.963197999999998</v>
      </c>
      <c r="F253">
        <v>-75.735676999999995</v>
      </c>
    </row>
    <row r="254" spans="2:6">
      <c r="B254">
        <v>77040905710</v>
      </c>
      <c r="C254" t="s">
        <v>1551</v>
      </c>
      <c r="D254" t="s">
        <v>1357</v>
      </c>
      <c r="E254">
        <v>23.0653805</v>
      </c>
      <c r="F254">
        <v>-82.334337500000004</v>
      </c>
    </row>
    <row r="255" spans="2:6">
      <c r="B255">
        <v>77041201559</v>
      </c>
      <c r="C255" t="s">
        <v>1552</v>
      </c>
      <c r="D255" t="s">
        <v>1553</v>
      </c>
      <c r="E255">
        <v>22.2831446</v>
      </c>
      <c r="F255">
        <v>-83.840658700000006</v>
      </c>
    </row>
    <row r="256" spans="2:6">
      <c r="B256">
        <v>77050507653</v>
      </c>
      <c r="C256" t="s">
        <v>709</v>
      </c>
      <c r="D256" t="s">
        <v>973</v>
      </c>
      <c r="E256">
        <v>22.521993999999999</v>
      </c>
      <c r="F256">
        <v>-83.414097999999996</v>
      </c>
    </row>
    <row r="257" spans="2:6">
      <c r="B257">
        <v>77061001018</v>
      </c>
      <c r="C257" t="s">
        <v>453</v>
      </c>
      <c r="D257" t="s">
        <v>1554</v>
      </c>
      <c r="E257">
        <v>22.159973000000001</v>
      </c>
      <c r="F257">
        <v>-79.090001000000001</v>
      </c>
    </row>
    <row r="258" spans="2:6">
      <c r="B258">
        <v>77070625219</v>
      </c>
      <c r="C258" t="s">
        <v>76</v>
      </c>
      <c r="D258" t="s">
        <v>1036</v>
      </c>
      <c r="E258">
        <v>20.347678999999999</v>
      </c>
      <c r="F258">
        <v>-74.497591</v>
      </c>
    </row>
    <row r="259" spans="2:6">
      <c r="B259">
        <v>77080916824</v>
      </c>
      <c r="C259" t="s">
        <v>1555</v>
      </c>
      <c r="D259" t="s">
        <v>1556</v>
      </c>
      <c r="E259">
        <v>21.379961000000002</v>
      </c>
      <c r="F259">
        <v>-77.893765000000002</v>
      </c>
    </row>
    <row r="260" spans="2:6">
      <c r="B260">
        <v>77111516467</v>
      </c>
      <c r="C260" t="s">
        <v>1557</v>
      </c>
      <c r="D260" t="s">
        <v>1558</v>
      </c>
      <c r="E260">
        <v>21.399473</v>
      </c>
      <c r="F260">
        <v>-77.906952000000004</v>
      </c>
    </row>
    <row r="261" spans="2:6">
      <c r="B261">
        <v>77121305771</v>
      </c>
      <c r="C261" t="s">
        <v>1559</v>
      </c>
      <c r="D261" t="s">
        <v>1560</v>
      </c>
      <c r="E261">
        <v>20.174906</v>
      </c>
      <c r="F261">
        <v>-75.643423999999996</v>
      </c>
    </row>
    <row r="262" spans="2:6">
      <c r="B262">
        <v>78042100810</v>
      </c>
      <c r="C262" t="s">
        <v>1561</v>
      </c>
      <c r="D262" t="s">
        <v>1562</v>
      </c>
      <c r="E262">
        <v>21.383972</v>
      </c>
      <c r="F262">
        <v>-77.915957000000006</v>
      </c>
    </row>
    <row r="263" spans="2:6">
      <c r="B263">
        <v>78060519520</v>
      </c>
      <c r="C263" t="s">
        <v>619</v>
      </c>
      <c r="D263" t="s">
        <v>1071</v>
      </c>
      <c r="E263">
        <v>21.945965000000001</v>
      </c>
      <c r="F263">
        <v>-79.449241999999998</v>
      </c>
    </row>
    <row r="264" spans="2:6">
      <c r="B264">
        <v>79020223162</v>
      </c>
      <c r="C264" t="s">
        <v>1563</v>
      </c>
      <c r="D264" t="s">
        <v>1564</v>
      </c>
      <c r="E264">
        <v>20.185265999999999</v>
      </c>
      <c r="F264">
        <v>-75.849463</v>
      </c>
    </row>
    <row r="265" spans="2:6">
      <c r="B265">
        <v>79031407711</v>
      </c>
      <c r="C265" t="s">
        <v>1565</v>
      </c>
      <c r="D265" t="s">
        <v>1357</v>
      </c>
      <c r="E265">
        <v>23.0653805</v>
      </c>
      <c r="F265">
        <v>-82.334337500000004</v>
      </c>
    </row>
    <row r="266" spans="2:6">
      <c r="B266">
        <v>79040224023</v>
      </c>
      <c r="C266" t="s">
        <v>1566</v>
      </c>
      <c r="D266" t="s">
        <v>1357</v>
      </c>
      <c r="E266">
        <v>23.0653805</v>
      </c>
      <c r="F266">
        <v>-82.334337500000004</v>
      </c>
    </row>
    <row r="267" spans="2:6">
      <c r="B267">
        <v>79041117601</v>
      </c>
      <c r="C267" t="s">
        <v>1567</v>
      </c>
      <c r="D267" t="s">
        <v>1357</v>
      </c>
      <c r="E267">
        <v>23.0653805</v>
      </c>
      <c r="F267">
        <v>-82.334337500000004</v>
      </c>
    </row>
    <row r="268" spans="2:6">
      <c r="B268">
        <v>79062005233</v>
      </c>
      <c r="C268" t="s">
        <v>1568</v>
      </c>
      <c r="D268" t="s">
        <v>1357</v>
      </c>
      <c r="E268">
        <v>23.0653805</v>
      </c>
      <c r="F268">
        <v>-82.334337500000004</v>
      </c>
    </row>
    <row r="269" spans="2:6">
      <c r="B269">
        <v>79072712696</v>
      </c>
      <c r="C269" t="s">
        <v>1569</v>
      </c>
      <c r="D269" t="s">
        <v>1511</v>
      </c>
      <c r="E269">
        <v>22.398727000000001</v>
      </c>
      <c r="F269">
        <v>-79.953620999999998</v>
      </c>
    </row>
    <row r="270" spans="2:6">
      <c r="B270">
        <v>79080400017</v>
      </c>
      <c r="C270" t="s">
        <v>39</v>
      </c>
      <c r="D270" t="s">
        <v>860</v>
      </c>
      <c r="E270">
        <v>22.814188999999999</v>
      </c>
      <c r="F270">
        <v>-82.758707999999999</v>
      </c>
    </row>
    <row r="271" spans="2:6">
      <c r="B271">
        <v>80032305244</v>
      </c>
      <c r="C271" t="s">
        <v>1570</v>
      </c>
      <c r="D271" t="s">
        <v>1357</v>
      </c>
      <c r="E271">
        <v>23.0653805</v>
      </c>
      <c r="F271">
        <v>-82.334337500000004</v>
      </c>
    </row>
    <row r="272" spans="2:6">
      <c r="B272">
        <v>80040225686</v>
      </c>
      <c r="C272" t="s">
        <v>1571</v>
      </c>
      <c r="D272" t="s">
        <v>1572</v>
      </c>
      <c r="E272">
        <v>20.312351</v>
      </c>
      <c r="F272">
        <v>-74.476035999999993</v>
      </c>
    </row>
    <row r="273" spans="2:6">
      <c r="B273">
        <v>80061920681</v>
      </c>
      <c r="C273" t="s">
        <v>1573</v>
      </c>
      <c r="D273" t="s">
        <v>1574</v>
      </c>
      <c r="E273">
        <v>23.024281800000001</v>
      </c>
      <c r="F273">
        <v>-82.464444499999999</v>
      </c>
    </row>
    <row r="274" spans="2:6">
      <c r="B274">
        <v>80091012492</v>
      </c>
      <c r="C274" t="s">
        <v>1575</v>
      </c>
      <c r="D274" t="s">
        <v>1576</v>
      </c>
      <c r="E274">
        <v>22.407937</v>
      </c>
      <c r="F274">
        <v>-79.998676000000003</v>
      </c>
    </row>
    <row r="275" spans="2:6">
      <c r="B275">
        <v>80112011915</v>
      </c>
      <c r="C275" t="s">
        <v>240</v>
      </c>
      <c r="D275" t="s">
        <v>1053</v>
      </c>
      <c r="E275">
        <v>22.803284999999999</v>
      </c>
      <c r="F275">
        <v>-80.084541999999999</v>
      </c>
    </row>
    <row r="276" spans="2:6">
      <c r="B276">
        <v>81021724939</v>
      </c>
      <c r="C276" t="s">
        <v>388</v>
      </c>
      <c r="D276" t="s">
        <v>1015</v>
      </c>
      <c r="E276">
        <v>20.159344000000001</v>
      </c>
      <c r="F276">
        <v>-75.207044999999994</v>
      </c>
    </row>
    <row r="277" spans="2:6">
      <c r="B277">
        <v>81042115242</v>
      </c>
      <c r="C277" t="s">
        <v>658</v>
      </c>
      <c r="D277" t="s">
        <v>930</v>
      </c>
      <c r="E277">
        <v>20.375623999999998</v>
      </c>
      <c r="F277">
        <v>-76.645796000000004</v>
      </c>
    </row>
    <row r="278" spans="2:6">
      <c r="B278">
        <v>81090709150</v>
      </c>
      <c r="C278" t="s">
        <v>798</v>
      </c>
      <c r="D278" t="s">
        <v>1101</v>
      </c>
      <c r="E278">
        <v>23.034634</v>
      </c>
      <c r="F278">
        <v>-81.567992000000004</v>
      </c>
    </row>
    <row r="279" spans="2:6">
      <c r="B279">
        <v>81090810074</v>
      </c>
      <c r="C279" t="s">
        <v>603</v>
      </c>
      <c r="D279" t="s">
        <v>834</v>
      </c>
      <c r="E279">
        <v>22.153859000000001</v>
      </c>
      <c r="F279">
        <v>-80.428938000000002</v>
      </c>
    </row>
    <row r="280" spans="2:6">
      <c r="B280">
        <v>82010622319</v>
      </c>
      <c r="C280" t="s">
        <v>1577</v>
      </c>
      <c r="D280" t="s">
        <v>1556</v>
      </c>
      <c r="E280">
        <v>21.379961000000002</v>
      </c>
      <c r="F280">
        <v>-77.893765000000002</v>
      </c>
    </row>
    <row r="281" spans="2:6">
      <c r="B281">
        <v>82060321824</v>
      </c>
      <c r="C281" t="s">
        <v>631</v>
      </c>
      <c r="D281" t="s">
        <v>875</v>
      </c>
      <c r="E281">
        <v>23.001280000000001</v>
      </c>
      <c r="F281">
        <v>-82.383795000000006</v>
      </c>
    </row>
    <row r="282" spans="2:6">
      <c r="B282">
        <v>82062000416</v>
      </c>
      <c r="C282" t="s">
        <v>421</v>
      </c>
      <c r="D282" t="s">
        <v>978</v>
      </c>
      <c r="E282">
        <v>22.511353</v>
      </c>
      <c r="F282">
        <v>-83.412702999999993</v>
      </c>
    </row>
    <row r="283" spans="2:6">
      <c r="B283">
        <v>82090801650</v>
      </c>
      <c r="C283" t="s">
        <v>172</v>
      </c>
      <c r="D283" t="s">
        <v>891</v>
      </c>
      <c r="E283">
        <v>23.128575000000001</v>
      </c>
      <c r="F283">
        <v>-82.408957999999998</v>
      </c>
    </row>
    <row r="284" spans="2:6">
      <c r="B284">
        <v>82092107701</v>
      </c>
      <c r="C284" t="s">
        <v>1578</v>
      </c>
      <c r="D284" t="s">
        <v>1357</v>
      </c>
      <c r="E284">
        <v>23.0653805</v>
      </c>
      <c r="F284">
        <v>-82.334337500000004</v>
      </c>
    </row>
    <row r="285" spans="2:6">
      <c r="B285">
        <v>82111918023</v>
      </c>
      <c r="C285" t="s">
        <v>359</v>
      </c>
      <c r="D285" t="s">
        <v>1064</v>
      </c>
      <c r="E285">
        <v>22.327414000000001</v>
      </c>
      <c r="F285">
        <v>-79.241140000000001</v>
      </c>
    </row>
    <row r="286" spans="2:6">
      <c r="B286">
        <v>82120408750</v>
      </c>
      <c r="C286" t="s">
        <v>157</v>
      </c>
      <c r="D286" t="s">
        <v>911</v>
      </c>
      <c r="E286">
        <v>23.070526999999998</v>
      </c>
      <c r="F286">
        <v>-82.437963999999994</v>
      </c>
    </row>
    <row r="287" spans="2:6">
      <c r="B287">
        <v>83022306588</v>
      </c>
      <c r="C287" t="s">
        <v>299</v>
      </c>
      <c r="D287" t="s">
        <v>885</v>
      </c>
      <c r="E287">
        <v>23.105204000000001</v>
      </c>
      <c r="F287">
        <v>-82.371781999999996</v>
      </c>
    </row>
    <row r="288" spans="2:6">
      <c r="B288">
        <v>83051217538</v>
      </c>
      <c r="C288" t="s">
        <v>1579</v>
      </c>
      <c r="D288" t="s">
        <v>1580</v>
      </c>
      <c r="E288">
        <v>20.948813999999999</v>
      </c>
      <c r="F288">
        <v>-76.950518000000002</v>
      </c>
    </row>
    <row r="289" spans="2:6">
      <c r="B289">
        <v>83073129434</v>
      </c>
      <c r="C289" t="s">
        <v>1581</v>
      </c>
      <c r="D289" t="s">
        <v>1357</v>
      </c>
      <c r="E289">
        <v>23.0653805</v>
      </c>
      <c r="F289">
        <v>-82.334337500000004</v>
      </c>
    </row>
    <row r="290" spans="2:6">
      <c r="B290">
        <v>83080229473</v>
      </c>
      <c r="C290" t="s">
        <v>1582</v>
      </c>
      <c r="D290" t="s">
        <v>1357</v>
      </c>
      <c r="E290">
        <v>23.0653805</v>
      </c>
      <c r="F290">
        <v>-82.334337500000004</v>
      </c>
    </row>
    <row r="291" spans="2:6">
      <c r="B291">
        <v>84011326760</v>
      </c>
      <c r="C291" t="s">
        <v>614</v>
      </c>
      <c r="D291" t="s">
        <v>884</v>
      </c>
      <c r="E291">
        <v>23.097743000000001</v>
      </c>
      <c r="F291">
        <v>-82.371129999999994</v>
      </c>
    </row>
    <row r="292" spans="2:6">
      <c r="B292">
        <v>84032212421</v>
      </c>
      <c r="C292" t="s">
        <v>1583</v>
      </c>
      <c r="D292" t="s">
        <v>1357</v>
      </c>
      <c r="E292">
        <v>23.0653805</v>
      </c>
      <c r="F292">
        <v>-82.334337500000004</v>
      </c>
    </row>
    <row r="293" spans="2:6">
      <c r="B293">
        <v>84032607545</v>
      </c>
      <c r="C293" t="s">
        <v>1584</v>
      </c>
      <c r="D293" t="s">
        <v>1357</v>
      </c>
      <c r="E293">
        <v>23.0653805</v>
      </c>
      <c r="F293">
        <v>-82.334337500000004</v>
      </c>
    </row>
    <row r="294" spans="2:6">
      <c r="B294">
        <v>84050612491</v>
      </c>
      <c r="C294" t="s">
        <v>1585</v>
      </c>
      <c r="D294" t="s">
        <v>1586</v>
      </c>
      <c r="E294">
        <v>22.406448999999999</v>
      </c>
      <c r="F294">
        <v>-79.975324999999998</v>
      </c>
    </row>
    <row r="295" spans="2:6">
      <c r="B295">
        <v>84051108819</v>
      </c>
      <c r="C295" t="s">
        <v>1587</v>
      </c>
      <c r="D295" t="s">
        <v>1588</v>
      </c>
      <c r="E295">
        <v>22.977779999999999</v>
      </c>
      <c r="F295">
        <v>-82.301780500000007</v>
      </c>
    </row>
    <row r="296" spans="2:6">
      <c r="B296">
        <v>84061214264</v>
      </c>
      <c r="C296" t="s">
        <v>1589</v>
      </c>
      <c r="D296" t="s">
        <v>1590</v>
      </c>
      <c r="E296">
        <v>22.160326999999999</v>
      </c>
      <c r="F296">
        <v>-80.438540000000003</v>
      </c>
    </row>
    <row r="297" spans="2:6">
      <c r="B297">
        <v>84102217816</v>
      </c>
      <c r="C297" t="s">
        <v>1591</v>
      </c>
      <c r="D297" t="s">
        <v>1592</v>
      </c>
      <c r="E297">
        <v>21.054822999999999</v>
      </c>
      <c r="F297">
        <v>-77.342224999999999</v>
      </c>
    </row>
    <row r="298" spans="2:6">
      <c r="B298">
        <v>84123109858</v>
      </c>
      <c r="C298" t="s">
        <v>1442</v>
      </c>
      <c r="D298" t="s">
        <v>1443</v>
      </c>
      <c r="E298">
        <v>22.722339999999999</v>
      </c>
      <c r="F298">
        <v>-80.900546000000006</v>
      </c>
    </row>
    <row r="299" spans="2:6">
      <c r="B299">
        <v>85030427948</v>
      </c>
      <c r="C299" t="s">
        <v>712</v>
      </c>
      <c r="D299" t="s">
        <v>1009</v>
      </c>
      <c r="E299">
        <v>19.989087000000001</v>
      </c>
      <c r="F299">
        <v>-75.153880999999998</v>
      </c>
    </row>
    <row r="300" spans="2:6">
      <c r="B300">
        <v>85051226331</v>
      </c>
      <c r="C300" t="s">
        <v>1593</v>
      </c>
      <c r="D300" t="s">
        <v>1594</v>
      </c>
      <c r="E300">
        <v>20.421353</v>
      </c>
      <c r="F300">
        <v>-75.531771000000006</v>
      </c>
    </row>
    <row r="301" spans="2:6">
      <c r="B301">
        <v>85052011690</v>
      </c>
      <c r="C301" t="s">
        <v>767</v>
      </c>
      <c r="D301" t="s">
        <v>1060</v>
      </c>
      <c r="E301">
        <v>22.459534000000001</v>
      </c>
      <c r="F301">
        <v>-79.718828999999999</v>
      </c>
    </row>
    <row r="302" spans="2:6">
      <c r="B302">
        <v>85060226754</v>
      </c>
      <c r="C302" t="s">
        <v>1595</v>
      </c>
      <c r="D302" t="s">
        <v>1596</v>
      </c>
      <c r="E302">
        <v>19.960581000000001</v>
      </c>
      <c r="F302">
        <v>-75.705911</v>
      </c>
    </row>
    <row r="303" spans="2:6">
      <c r="B303">
        <v>85062820287</v>
      </c>
      <c r="C303" t="s">
        <v>624</v>
      </c>
      <c r="D303" t="s">
        <v>928</v>
      </c>
      <c r="E303">
        <v>20.896027</v>
      </c>
      <c r="F303">
        <v>-77.280438000000004</v>
      </c>
    </row>
    <row r="304" spans="2:6">
      <c r="B304">
        <v>85062923857</v>
      </c>
      <c r="C304" t="s">
        <v>1597</v>
      </c>
      <c r="D304" t="s">
        <v>1598</v>
      </c>
      <c r="E304">
        <v>20.382829000000001</v>
      </c>
      <c r="F304">
        <v>-76.641824999999997</v>
      </c>
    </row>
    <row r="305" spans="2:6">
      <c r="B305">
        <v>85070218892</v>
      </c>
      <c r="C305" t="s">
        <v>1599</v>
      </c>
      <c r="D305" t="s">
        <v>1600</v>
      </c>
      <c r="E305">
        <v>21.355170999999999</v>
      </c>
      <c r="F305">
        <v>-77.909125000000003</v>
      </c>
    </row>
    <row r="306" spans="2:6">
      <c r="B306">
        <v>85111307790</v>
      </c>
      <c r="C306" t="s">
        <v>1601</v>
      </c>
      <c r="D306" t="s">
        <v>1420</v>
      </c>
      <c r="E306">
        <v>23.06748</v>
      </c>
      <c r="F306">
        <v>-82.377733500000005</v>
      </c>
    </row>
    <row r="307" spans="2:6">
      <c r="B307">
        <v>85112414891</v>
      </c>
      <c r="C307" t="s">
        <v>208</v>
      </c>
      <c r="D307" t="s">
        <v>1057</v>
      </c>
      <c r="E307">
        <v>22.073920000000001</v>
      </c>
      <c r="F307">
        <v>-79.501318999999995</v>
      </c>
    </row>
    <row r="308" spans="2:6">
      <c r="B308">
        <v>86062405727</v>
      </c>
      <c r="C308" t="s">
        <v>1602</v>
      </c>
      <c r="D308" t="s">
        <v>1399</v>
      </c>
      <c r="E308">
        <v>23.123501000000001</v>
      </c>
      <c r="F308">
        <v>-82.374182000000005</v>
      </c>
    </row>
    <row r="309" spans="2:6">
      <c r="B309">
        <v>86100310022</v>
      </c>
      <c r="C309" t="s">
        <v>195</v>
      </c>
      <c r="D309" t="s">
        <v>1089</v>
      </c>
      <c r="E309">
        <v>22.903486000000001</v>
      </c>
      <c r="F309">
        <v>-81.036161000000007</v>
      </c>
    </row>
    <row r="310" spans="2:6">
      <c r="B310">
        <v>86100428388</v>
      </c>
      <c r="C310" t="s">
        <v>83</v>
      </c>
      <c r="D310" t="s">
        <v>1018</v>
      </c>
      <c r="E310">
        <v>20.349919</v>
      </c>
      <c r="F310">
        <v>-74.509829999999994</v>
      </c>
    </row>
    <row r="311" spans="2:6">
      <c r="B311">
        <v>86101027436</v>
      </c>
      <c r="C311" t="s">
        <v>1603</v>
      </c>
      <c r="D311" t="s">
        <v>1604</v>
      </c>
      <c r="E311">
        <v>20.162075000000002</v>
      </c>
      <c r="F311">
        <v>-76.330177000000006</v>
      </c>
    </row>
    <row r="312" spans="2:6">
      <c r="B312">
        <v>86122720984</v>
      </c>
      <c r="C312" t="s">
        <v>1605</v>
      </c>
      <c r="D312" t="s">
        <v>1357</v>
      </c>
      <c r="E312">
        <v>23.0653805</v>
      </c>
      <c r="F312">
        <v>-82.334337500000004</v>
      </c>
    </row>
    <row r="313" spans="2:6">
      <c r="B313">
        <v>87061635360</v>
      </c>
      <c r="C313" t="s">
        <v>1606</v>
      </c>
      <c r="D313" t="s">
        <v>1607</v>
      </c>
      <c r="E313">
        <v>20.275829999999999</v>
      </c>
      <c r="F313">
        <v>-74.463294000000005</v>
      </c>
    </row>
    <row r="314" spans="2:6">
      <c r="B314">
        <v>87072202332</v>
      </c>
      <c r="C314" t="s">
        <v>698</v>
      </c>
      <c r="D314" t="s">
        <v>972</v>
      </c>
      <c r="E314">
        <v>22.420843000000001</v>
      </c>
      <c r="F314">
        <v>-83.692321000000007</v>
      </c>
    </row>
    <row r="315" spans="2:6">
      <c r="B315">
        <v>87101210096</v>
      </c>
      <c r="C315" t="s">
        <v>1608</v>
      </c>
      <c r="D315" t="s">
        <v>1357</v>
      </c>
      <c r="E315">
        <v>23.0653805</v>
      </c>
      <c r="F315">
        <v>-82.334337500000004</v>
      </c>
    </row>
    <row r="316" spans="2:6">
      <c r="B316">
        <v>87112434653</v>
      </c>
      <c r="C316" t="s">
        <v>87</v>
      </c>
      <c r="D316" t="s">
        <v>1020</v>
      </c>
      <c r="E316">
        <v>20.163029999999999</v>
      </c>
      <c r="F316">
        <v>-75.218351999999996</v>
      </c>
    </row>
    <row r="317" spans="2:6">
      <c r="B317">
        <v>87112617772</v>
      </c>
      <c r="C317" t="s">
        <v>145</v>
      </c>
      <c r="D317" t="s">
        <v>906</v>
      </c>
      <c r="E317">
        <v>23.062971999999998</v>
      </c>
      <c r="F317">
        <v>-82.439797999999996</v>
      </c>
    </row>
    <row r="318" spans="2:6">
      <c r="B318">
        <v>87113028340</v>
      </c>
      <c r="C318" t="s">
        <v>1609</v>
      </c>
      <c r="D318" t="s">
        <v>1610</v>
      </c>
      <c r="E318">
        <v>20.583238999999999</v>
      </c>
      <c r="F318">
        <v>-75.242324999999994</v>
      </c>
    </row>
    <row r="319" spans="2:6">
      <c r="B319">
        <v>88011414103</v>
      </c>
      <c r="C319" t="s">
        <v>651</v>
      </c>
      <c r="D319" t="s">
        <v>1098</v>
      </c>
      <c r="E319">
        <v>22.680681</v>
      </c>
      <c r="F319">
        <v>-81.118342999999996</v>
      </c>
    </row>
    <row r="320" spans="2:6">
      <c r="B320">
        <v>88011522186</v>
      </c>
      <c r="C320" t="s">
        <v>593</v>
      </c>
      <c r="D320" t="s">
        <v>926</v>
      </c>
      <c r="E320">
        <v>20.87378</v>
      </c>
      <c r="F320">
        <v>-76.256399000000002</v>
      </c>
    </row>
    <row r="321" spans="2:6">
      <c r="B321">
        <v>88021239408</v>
      </c>
      <c r="C321" t="s">
        <v>531</v>
      </c>
      <c r="D321" t="s">
        <v>965</v>
      </c>
      <c r="E321">
        <v>22.835650000000001</v>
      </c>
      <c r="F321">
        <v>-82.030754000000002</v>
      </c>
    </row>
    <row r="322" spans="2:6">
      <c r="B322">
        <v>88052426444</v>
      </c>
      <c r="C322" t="s">
        <v>1611</v>
      </c>
      <c r="D322" t="s">
        <v>1612</v>
      </c>
      <c r="E322">
        <v>20.887252</v>
      </c>
      <c r="F322">
        <v>-76.240189000000001</v>
      </c>
    </row>
    <row r="323" spans="2:6">
      <c r="B323">
        <v>88071110230</v>
      </c>
      <c r="C323" t="s">
        <v>1613</v>
      </c>
      <c r="D323" t="s">
        <v>1357</v>
      </c>
      <c r="E323">
        <v>23.0653805</v>
      </c>
      <c r="F323">
        <v>-82.334337500000004</v>
      </c>
    </row>
    <row r="324" spans="2:6">
      <c r="B324">
        <v>88071148699</v>
      </c>
      <c r="C324" t="s">
        <v>379</v>
      </c>
      <c r="D324" t="s">
        <v>952</v>
      </c>
      <c r="E324">
        <v>20.251429999999999</v>
      </c>
      <c r="F324">
        <v>-77.202066000000002</v>
      </c>
    </row>
    <row r="325" spans="2:6">
      <c r="B325">
        <v>88072832283</v>
      </c>
      <c r="C325" t="s">
        <v>1614</v>
      </c>
      <c r="D325" t="s">
        <v>1615</v>
      </c>
      <c r="E325">
        <v>20.006060000000002</v>
      </c>
      <c r="F325">
        <v>-75.835965000000002</v>
      </c>
    </row>
    <row r="326" spans="2:6">
      <c r="B326">
        <v>88090214205</v>
      </c>
      <c r="C326" t="s">
        <v>1616</v>
      </c>
      <c r="D326" t="s">
        <v>1617</v>
      </c>
      <c r="E326">
        <v>22.645074999999999</v>
      </c>
      <c r="F326">
        <v>-80.046761000000004</v>
      </c>
    </row>
    <row r="327" spans="2:6">
      <c r="B327">
        <v>88092514279</v>
      </c>
      <c r="C327" t="s">
        <v>334</v>
      </c>
      <c r="D327" t="s">
        <v>1076</v>
      </c>
      <c r="E327">
        <v>22.398679000000001</v>
      </c>
      <c r="F327">
        <v>-79.953992</v>
      </c>
    </row>
    <row r="328" spans="2:6">
      <c r="B328">
        <v>88121728335</v>
      </c>
      <c r="C328" t="s">
        <v>441</v>
      </c>
      <c r="D328" t="s">
        <v>955</v>
      </c>
      <c r="E328">
        <v>20.6560703</v>
      </c>
      <c r="F328">
        <v>-75.680064900000005</v>
      </c>
    </row>
    <row r="329" spans="2:6">
      <c r="B329">
        <v>88122428415</v>
      </c>
      <c r="C329" t="s">
        <v>724</v>
      </c>
      <c r="D329" t="s">
        <v>935</v>
      </c>
      <c r="E329">
        <v>20.634008000000001</v>
      </c>
      <c r="F329">
        <v>-75.697716</v>
      </c>
    </row>
    <row r="330" spans="2:6">
      <c r="B330">
        <v>89013021298</v>
      </c>
      <c r="C330" t="s">
        <v>161</v>
      </c>
      <c r="D330" t="s">
        <v>908</v>
      </c>
      <c r="E330">
        <v>23.070526999999998</v>
      </c>
      <c r="F330">
        <v>-82.437963999999994</v>
      </c>
    </row>
    <row r="331" spans="2:6">
      <c r="B331">
        <v>89021832360</v>
      </c>
      <c r="C331" t="s">
        <v>215</v>
      </c>
      <c r="D331" t="s">
        <v>1066</v>
      </c>
      <c r="E331">
        <v>22.252371</v>
      </c>
      <c r="F331">
        <v>-79.264410999999996</v>
      </c>
    </row>
    <row r="332" spans="2:6">
      <c r="B332">
        <v>89022816414</v>
      </c>
      <c r="C332" t="s">
        <v>426</v>
      </c>
      <c r="D332" t="s">
        <v>977</v>
      </c>
      <c r="E332">
        <v>22.566068000000001</v>
      </c>
      <c r="F332">
        <v>-83.442031</v>
      </c>
    </row>
    <row r="333" spans="2:6">
      <c r="B333">
        <v>89030213060</v>
      </c>
      <c r="C333" t="s">
        <v>523</v>
      </c>
      <c r="D333" t="s">
        <v>1025</v>
      </c>
      <c r="E333">
        <v>20.001709000000002</v>
      </c>
      <c r="F333">
        <v>-75.830879999999993</v>
      </c>
    </row>
    <row r="334" spans="2:6">
      <c r="B334">
        <v>89050844124</v>
      </c>
      <c r="C334" t="s">
        <v>1618</v>
      </c>
      <c r="D334" t="s">
        <v>1619</v>
      </c>
      <c r="E334">
        <v>20.290334000000001</v>
      </c>
      <c r="F334">
        <v>-76.249775</v>
      </c>
    </row>
    <row r="335" spans="2:6">
      <c r="B335">
        <v>89092637571</v>
      </c>
      <c r="C335" t="s">
        <v>792</v>
      </c>
      <c r="D335" t="s">
        <v>943</v>
      </c>
      <c r="E335">
        <v>20.887139000000001</v>
      </c>
      <c r="F335">
        <v>-76.260452999999998</v>
      </c>
    </row>
    <row r="336" spans="2:6">
      <c r="B336">
        <v>89100130152</v>
      </c>
      <c r="C336" t="s">
        <v>253</v>
      </c>
      <c r="D336" t="s">
        <v>1072</v>
      </c>
      <c r="E336">
        <v>22.396975000000001</v>
      </c>
      <c r="F336">
        <v>-79.966313999999997</v>
      </c>
    </row>
    <row r="337" spans="2:6">
      <c r="B337">
        <v>89101437434</v>
      </c>
      <c r="C337" t="s">
        <v>289</v>
      </c>
      <c r="D337" t="s">
        <v>946</v>
      </c>
      <c r="E337">
        <v>21.110945000000001</v>
      </c>
      <c r="F337">
        <v>-76.133002000000005</v>
      </c>
    </row>
    <row r="338" spans="2:6">
      <c r="B338">
        <v>89120320523</v>
      </c>
      <c r="C338" t="s">
        <v>1620</v>
      </c>
      <c r="D338" t="s">
        <v>1357</v>
      </c>
      <c r="E338">
        <v>23.0653805</v>
      </c>
      <c r="F338">
        <v>-82.334337500000004</v>
      </c>
    </row>
    <row r="339" spans="2:6">
      <c r="B339">
        <v>89121339232</v>
      </c>
      <c r="C339" t="s">
        <v>1621</v>
      </c>
      <c r="D339" t="s">
        <v>1384</v>
      </c>
      <c r="E339">
        <v>20.578046000000001</v>
      </c>
      <c r="F339">
        <v>-75.241039999999998</v>
      </c>
    </row>
    <row r="340" spans="2:6">
      <c r="B340">
        <v>90011228906</v>
      </c>
      <c r="C340" t="s">
        <v>149</v>
      </c>
      <c r="D340" t="s">
        <v>1622</v>
      </c>
      <c r="E340">
        <v>23.06748</v>
      </c>
      <c r="F340">
        <v>-82.377733500000005</v>
      </c>
    </row>
    <row r="341" spans="2:6">
      <c r="B341">
        <v>90040642658</v>
      </c>
      <c r="C341" t="s">
        <v>1623</v>
      </c>
      <c r="D341" t="s">
        <v>1357</v>
      </c>
      <c r="E341">
        <v>23.0653805</v>
      </c>
      <c r="F341">
        <v>-82.334337500000004</v>
      </c>
    </row>
    <row r="342" spans="2:6">
      <c r="B342">
        <v>90042246254</v>
      </c>
      <c r="C342" t="s">
        <v>467</v>
      </c>
      <c r="D342" t="s">
        <v>1022</v>
      </c>
      <c r="E342">
        <v>20.041782999999999</v>
      </c>
      <c r="F342">
        <v>-75.835746999999998</v>
      </c>
    </row>
    <row r="343" spans="2:6">
      <c r="B343">
        <v>90052234095</v>
      </c>
      <c r="C343" t="s">
        <v>1624</v>
      </c>
      <c r="D343" t="s">
        <v>1625</v>
      </c>
      <c r="E343">
        <v>22.406797000000001</v>
      </c>
      <c r="F343">
        <v>-79.980907000000002</v>
      </c>
    </row>
    <row r="344" spans="2:6">
      <c r="B344">
        <v>90061338191</v>
      </c>
      <c r="C344" t="s">
        <v>1626</v>
      </c>
      <c r="D344" t="s">
        <v>1627</v>
      </c>
      <c r="E344">
        <v>22.112956000000001</v>
      </c>
      <c r="F344">
        <v>-78.621018000000007</v>
      </c>
    </row>
    <row r="345" spans="2:6">
      <c r="B345">
        <v>90070526183</v>
      </c>
      <c r="C345" t="s">
        <v>1628</v>
      </c>
      <c r="D345" t="s">
        <v>1629</v>
      </c>
      <c r="E345">
        <v>23.024281800000001</v>
      </c>
      <c r="F345">
        <v>-82.464444499999999</v>
      </c>
    </row>
    <row r="346" spans="2:6">
      <c r="B346">
        <v>90070742658</v>
      </c>
      <c r="C346" t="s">
        <v>1630</v>
      </c>
      <c r="D346" t="s">
        <v>1631</v>
      </c>
      <c r="E346" s="25">
        <v>0</v>
      </c>
      <c r="F346" s="25">
        <v>0</v>
      </c>
    </row>
    <row r="347" spans="2:6">
      <c r="B347">
        <v>90081632507</v>
      </c>
      <c r="C347" t="s">
        <v>1632</v>
      </c>
      <c r="D347" t="s">
        <v>1074</v>
      </c>
      <c r="E347">
        <v>22.507480999999999</v>
      </c>
      <c r="F347">
        <v>-80.001389000000003</v>
      </c>
    </row>
    <row r="348" spans="2:6">
      <c r="B348">
        <v>90092346127</v>
      </c>
      <c r="C348" t="s">
        <v>1633</v>
      </c>
      <c r="D348" t="s">
        <v>1634</v>
      </c>
      <c r="E348">
        <v>23.06748</v>
      </c>
      <c r="F348">
        <v>-82.377733500000005</v>
      </c>
    </row>
    <row r="349" spans="2:6">
      <c r="B349">
        <v>91010822497</v>
      </c>
      <c r="C349" t="s">
        <v>1635</v>
      </c>
      <c r="D349" t="s">
        <v>1636</v>
      </c>
      <c r="E349">
        <v>28.713382800000002</v>
      </c>
      <c r="F349">
        <v>-17.905781300000001</v>
      </c>
    </row>
    <row r="350" spans="2:6">
      <c r="B350">
        <v>91041348214</v>
      </c>
      <c r="C350" t="s">
        <v>328</v>
      </c>
      <c r="D350" t="s">
        <v>1023</v>
      </c>
      <c r="E350">
        <v>20.198181000000002</v>
      </c>
      <c r="F350">
        <v>-75.984842999999998</v>
      </c>
    </row>
    <row r="351" spans="2:6">
      <c r="B351">
        <v>91052722586</v>
      </c>
      <c r="C351" t="s">
        <v>199</v>
      </c>
      <c r="D351" t="s">
        <v>982</v>
      </c>
      <c r="E351">
        <v>22.589417000000001</v>
      </c>
      <c r="F351">
        <v>-83.943645000000004</v>
      </c>
    </row>
    <row r="352" spans="2:6">
      <c r="B352">
        <v>91080442908</v>
      </c>
      <c r="C352" t="s">
        <v>521</v>
      </c>
      <c r="D352" t="s">
        <v>958</v>
      </c>
      <c r="E352">
        <v>20.828453</v>
      </c>
      <c r="F352">
        <v>-75.837339</v>
      </c>
    </row>
    <row r="353" spans="2:6">
      <c r="B353">
        <v>91110747216</v>
      </c>
      <c r="C353" t="s">
        <v>274</v>
      </c>
      <c r="D353" t="s">
        <v>1637</v>
      </c>
      <c r="E353">
        <v>20.024868999999999</v>
      </c>
      <c r="F353">
        <v>-75.816368999999995</v>
      </c>
    </row>
    <row r="354" spans="2:6">
      <c r="B354">
        <v>91110747217</v>
      </c>
      <c r="C354" t="s">
        <v>274</v>
      </c>
      <c r="D354" t="s">
        <v>1637</v>
      </c>
      <c r="E354">
        <v>20.024868999999999</v>
      </c>
      <c r="F354">
        <v>-75.816368999999995</v>
      </c>
    </row>
    <row r="355" spans="2:6">
      <c r="B355">
        <v>91110844254</v>
      </c>
      <c r="C355" t="s">
        <v>635</v>
      </c>
      <c r="D355" t="s">
        <v>929</v>
      </c>
      <c r="E355">
        <v>20.657727999999999</v>
      </c>
      <c r="F355">
        <v>-74.945575000000005</v>
      </c>
    </row>
    <row r="356" spans="2:6">
      <c r="B356">
        <v>91113042453</v>
      </c>
      <c r="C356" t="s">
        <v>97</v>
      </c>
      <c r="D356" t="s">
        <v>963</v>
      </c>
      <c r="E356">
        <v>20.873954999999999</v>
      </c>
      <c r="F356">
        <v>-76.241944000000004</v>
      </c>
    </row>
    <row r="357" spans="2:6">
      <c r="B357">
        <v>92021428572</v>
      </c>
      <c r="C357" t="s">
        <v>462</v>
      </c>
      <c r="D357" t="s">
        <v>886</v>
      </c>
      <c r="E357">
        <v>23.104150000000001</v>
      </c>
      <c r="F357">
        <v>-82.349479000000002</v>
      </c>
    </row>
    <row r="358" spans="2:6">
      <c r="B358">
        <v>92032528343</v>
      </c>
      <c r="C358" t="s">
        <v>121</v>
      </c>
      <c r="D358" t="s">
        <v>900</v>
      </c>
      <c r="E358">
        <v>23.093257999999999</v>
      </c>
      <c r="F358">
        <v>-82.363453000000007</v>
      </c>
    </row>
    <row r="359" spans="2:6">
      <c r="B359">
        <v>92071646277</v>
      </c>
      <c r="C359" t="s">
        <v>826</v>
      </c>
      <c r="D359" t="s">
        <v>945</v>
      </c>
      <c r="E359">
        <v>20.382175</v>
      </c>
      <c r="F359">
        <v>-76.637478999999999</v>
      </c>
    </row>
    <row r="360" spans="2:6">
      <c r="B360">
        <v>92080847377</v>
      </c>
      <c r="C360" t="s">
        <v>1638</v>
      </c>
      <c r="D360" t="s">
        <v>1639</v>
      </c>
      <c r="E360">
        <v>20.235835000000002</v>
      </c>
      <c r="F360">
        <v>-77.286710999999997</v>
      </c>
    </row>
    <row r="361" spans="2:6">
      <c r="B361">
        <v>92091048839</v>
      </c>
      <c r="C361" t="s">
        <v>1640</v>
      </c>
      <c r="D361" t="s">
        <v>1641</v>
      </c>
      <c r="E361">
        <v>20.211922999999999</v>
      </c>
      <c r="F361">
        <v>-75.996908000000005</v>
      </c>
    </row>
    <row r="362" spans="2:6">
      <c r="B362">
        <v>93011921860</v>
      </c>
      <c r="C362" t="s">
        <v>515</v>
      </c>
      <c r="D362" t="s">
        <v>957</v>
      </c>
      <c r="E362">
        <v>20.882719999999999</v>
      </c>
      <c r="F362">
        <v>-76.241245000000006</v>
      </c>
    </row>
    <row r="363" spans="2:6">
      <c r="B363">
        <v>93032924289</v>
      </c>
      <c r="C363" t="s">
        <v>451</v>
      </c>
      <c r="D363" t="s">
        <v>1203</v>
      </c>
      <c r="E363">
        <v>21.393422000000001</v>
      </c>
      <c r="F363">
        <v>-77.912655000000001</v>
      </c>
    </row>
    <row r="364" spans="2:6">
      <c r="B364">
        <v>93050300108</v>
      </c>
      <c r="C364" t="s">
        <v>1642</v>
      </c>
      <c r="D364" t="s">
        <v>1357</v>
      </c>
      <c r="E364">
        <v>23.0653805</v>
      </c>
      <c r="F364">
        <v>-82.334337500000004</v>
      </c>
    </row>
    <row r="365" spans="2:6">
      <c r="B365">
        <v>93070919074</v>
      </c>
      <c r="C365" t="s">
        <v>364</v>
      </c>
      <c r="D365" t="s">
        <v>1095</v>
      </c>
      <c r="E365">
        <v>23.053314</v>
      </c>
      <c r="F365">
        <v>-81.587546000000003</v>
      </c>
    </row>
    <row r="366" spans="2:6">
      <c r="B366">
        <v>93082419072</v>
      </c>
      <c r="C366" t="s">
        <v>703</v>
      </c>
      <c r="D366" t="s">
        <v>933</v>
      </c>
      <c r="E366">
        <v>20.863493999999999</v>
      </c>
      <c r="F366">
        <v>-76.639484999999993</v>
      </c>
    </row>
    <row r="367" spans="2:6">
      <c r="B367">
        <v>93090631612</v>
      </c>
      <c r="C367" t="s">
        <v>763</v>
      </c>
      <c r="D367" t="s">
        <v>879</v>
      </c>
      <c r="E367">
        <v>23.133023000000001</v>
      </c>
      <c r="F367">
        <v>-82.370863999999997</v>
      </c>
    </row>
    <row r="368" spans="2:6">
      <c r="B368">
        <v>93120422426</v>
      </c>
      <c r="C368" t="s">
        <v>472</v>
      </c>
      <c r="D368" t="s">
        <v>881</v>
      </c>
      <c r="E368">
        <v>23.134616999999999</v>
      </c>
      <c r="F368">
        <v>-82.371081000000004</v>
      </c>
    </row>
    <row r="369" spans="2:6">
      <c r="B369">
        <v>94031947351</v>
      </c>
      <c r="C369" t="s">
        <v>449</v>
      </c>
      <c r="D369" t="s">
        <v>1055</v>
      </c>
      <c r="E369">
        <v>22.808312000000001</v>
      </c>
      <c r="F369">
        <v>-80.080389999999994</v>
      </c>
    </row>
    <row r="370" spans="2:6">
      <c r="B370">
        <v>94033037092</v>
      </c>
      <c r="C370" t="s">
        <v>1643</v>
      </c>
      <c r="D370" t="s">
        <v>1644</v>
      </c>
      <c r="E370">
        <v>21.73724</v>
      </c>
      <c r="F370">
        <v>-79.463098000000002</v>
      </c>
    </row>
    <row r="371" spans="2:6">
      <c r="B371">
        <v>94043034999</v>
      </c>
      <c r="C371" t="s">
        <v>733</v>
      </c>
      <c r="D371" t="s">
        <v>1054</v>
      </c>
      <c r="E371">
        <v>22.797062</v>
      </c>
      <c r="F371">
        <v>-80.073857000000004</v>
      </c>
    </row>
    <row r="372" spans="2:6">
      <c r="B372">
        <v>94092049072</v>
      </c>
      <c r="C372" t="s">
        <v>348</v>
      </c>
      <c r="D372" t="s">
        <v>1032</v>
      </c>
      <c r="E372">
        <v>20.144058999999999</v>
      </c>
      <c r="F372">
        <v>-75.204552000000007</v>
      </c>
    </row>
    <row r="373" spans="2:6">
      <c r="B373">
        <v>94092140098</v>
      </c>
      <c r="C373" t="s">
        <v>1645</v>
      </c>
      <c r="D373" t="s">
        <v>1491</v>
      </c>
      <c r="E373">
        <v>21.199379</v>
      </c>
      <c r="F373">
        <v>-77.453371000000004</v>
      </c>
    </row>
    <row r="374" spans="2:6">
      <c r="B374">
        <v>94101929719</v>
      </c>
      <c r="C374" t="s">
        <v>661</v>
      </c>
      <c r="D374" t="s">
        <v>874</v>
      </c>
      <c r="E374">
        <v>22.977544000000002</v>
      </c>
      <c r="F374">
        <v>-82.375844999999998</v>
      </c>
    </row>
    <row r="375" spans="2:6">
      <c r="B375">
        <v>94111231540</v>
      </c>
      <c r="C375" t="s">
        <v>674</v>
      </c>
      <c r="D375" t="s">
        <v>1646</v>
      </c>
      <c r="E375">
        <v>23.037758</v>
      </c>
      <c r="F375">
        <v>-81.531454999999994</v>
      </c>
    </row>
    <row r="376" spans="2:6">
      <c r="B376">
        <v>94112047295</v>
      </c>
      <c r="C376" t="s">
        <v>1647</v>
      </c>
      <c r="D376" t="s">
        <v>1560</v>
      </c>
      <c r="E376">
        <v>20.174906</v>
      </c>
      <c r="F376">
        <v>-75.643423999999996</v>
      </c>
    </row>
    <row r="377" spans="2:6">
      <c r="B377">
        <v>95010231406</v>
      </c>
      <c r="C377" t="s">
        <v>742</v>
      </c>
      <c r="D377" t="s">
        <v>1103</v>
      </c>
      <c r="E377">
        <v>23.052361000000001</v>
      </c>
      <c r="F377">
        <v>-81.588089999999994</v>
      </c>
    </row>
    <row r="378" spans="2:6">
      <c r="B378">
        <v>95020107806</v>
      </c>
      <c r="C378" t="s">
        <v>1648</v>
      </c>
      <c r="D378" t="s">
        <v>1357</v>
      </c>
      <c r="E378">
        <v>23.0653805</v>
      </c>
      <c r="F378">
        <v>-82.334337500000004</v>
      </c>
    </row>
    <row r="379" spans="2:6">
      <c r="B379">
        <v>95020420235</v>
      </c>
      <c r="C379" t="s">
        <v>1649</v>
      </c>
      <c r="D379" t="s">
        <v>1619</v>
      </c>
      <c r="E379">
        <v>20.290334000000001</v>
      </c>
      <c r="F379">
        <v>-76.249775</v>
      </c>
    </row>
    <row r="380" spans="2:6">
      <c r="B380">
        <v>95030137177</v>
      </c>
      <c r="C380" t="s">
        <v>1650</v>
      </c>
      <c r="D380" t="s">
        <v>1357</v>
      </c>
      <c r="E380">
        <v>23.0653805</v>
      </c>
      <c r="F380">
        <v>-82.334337500000004</v>
      </c>
    </row>
    <row r="381" spans="2:6">
      <c r="B381">
        <v>95040930501</v>
      </c>
      <c r="C381" t="s">
        <v>140</v>
      </c>
      <c r="D381" t="s">
        <v>848</v>
      </c>
      <c r="E381">
        <v>23.056421</v>
      </c>
      <c r="F381">
        <v>-82.470249999999993</v>
      </c>
    </row>
    <row r="382" spans="2:6">
      <c r="B382">
        <v>95040930501</v>
      </c>
      <c r="C382" t="s">
        <v>140</v>
      </c>
      <c r="D382" t="s">
        <v>848</v>
      </c>
      <c r="E382">
        <v>23.056421</v>
      </c>
      <c r="F382">
        <v>-82.470249999999993</v>
      </c>
    </row>
    <row r="383" spans="2:6">
      <c r="B383">
        <v>95092030438</v>
      </c>
      <c r="C383" t="s">
        <v>150</v>
      </c>
      <c r="D383" t="s">
        <v>909</v>
      </c>
      <c r="E383">
        <v>23.070526999999998</v>
      </c>
      <c r="F383">
        <v>-82.437963999999994</v>
      </c>
    </row>
    <row r="384" spans="2:6">
      <c r="B384">
        <v>95112623480</v>
      </c>
      <c r="C384" t="s">
        <v>430</v>
      </c>
      <c r="D384" t="s">
        <v>987</v>
      </c>
      <c r="E384">
        <v>22.413544000000002</v>
      </c>
      <c r="F384">
        <v>-83.707365999999993</v>
      </c>
    </row>
    <row r="385" spans="2:6">
      <c r="B385">
        <v>95112744375</v>
      </c>
      <c r="C385" t="s">
        <v>511</v>
      </c>
      <c r="D385" t="s">
        <v>957</v>
      </c>
      <c r="E385">
        <v>20.882719999999999</v>
      </c>
      <c r="F385">
        <v>-76.241245000000006</v>
      </c>
    </row>
    <row r="386" spans="2:6">
      <c r="B386">
        <v>95122346810</v>
      </c>
      <c r="C386" t="s">
        <v>1651</v>
      </c>
      <c r="D386" t="s">
        <v>1652</v>
      </c>
      <c r="E386">
        <v>20.277221999999998</v>
      </c>
      <c r="F386">
        <v>-76.948884000000007</v>
      </c>
    </row>
    <row r="387" spans="2:6">
      <c r="B387">
        <v>96012225379</v>
      </c>
      <c r="C387" t="s">
        <v>1653</v>
      </c>
      <c r="D387" t="s">
        <v>1654</v>
      </c>
      <c r="E387">
        <v>20.349451999999999</v>
      </c>
      <c r="F387">
        <v>-74.495444000000006</v>
      </c>
    </row>
    <row r="388" spans="2:6">
      <c r="B388">
        <v>96021008768</v>
      </c>
      <c r="C388" t="s">
        <v>1655</v>
      </c>
      <c r="D388" t="s">
        <v>902</v>
      </c>
      <c r="E388">
        <v>23.125284000000001</v>
      </c>
      <c r="F388">
        <v>-82.300222000000005</v>
      </c>
    </row>
    <row r="389" spans="2:6">
      <c r="B389">
        <v>96040223694</v>
      </c>
      <c r="C389" t="s">
        <v>1656</v>
      </c>
      <c r="D389" t="s">
        <v>1657</v>
      </c>
      <c r="E389">
        <v>20.121924</v>
      </c>
      <c r="F389">
        <v>-75.750736000000003</v>
      </c>
    </row>
    <row r="390" spans="2:6">
      <c r="B390">
        <v>96111223391</v>
      </c>
      <c r="C390" t="s">
        <v>391</v>
      </c>
      <c r="D390" t="s">
        <v>1093</v>
      </c>
      <c r="E390">
        <v>23.030712000000001</v>
      </c>
      <c r="F390">
        <v>-81.526819000000003</v>
      </c>
    </row>
    <row r="391" spans="2:6">
      <c r="B391">
        <v>96122822653</v>
      </c>
      <c r="C391" t="s">
        <v>1658</v>
      </c>
      <c r="D391" t="s">
        <v>1659</v>
      </c>
      <c r="E391">
        <v>20.332757000000001</v>
      </c>
      <c r="F391">
        <v>-77.130863000000005</v>
      </c>
    </row>
    <row r="392" spans="2:6">
      <c r="B392">
        <v>97012210810</v>
      </c>
      <c r="C392" t="s">
        <v>235</v>
      </c>
      <c r="D392" t="s">
        <v>1056</v>
      </c>
      <c r="E392">
        <v>22.306536000000001</v>
      </c>
      <c r="F392">
        <v>-79.659098</v>
      </c>
    </row>
    <row r="393" spans="2:6">
      <c r="B393">
        <v>97041022731</v>
      </c>
      <c r="C393" t="s">
        <v>654</v>
      </c>
      <c r="D393" t="s">
        <v>1006</v>
      </c>
      <c r="E393">
        <v>20.299150999999998</v>
      </c>
      <c r="F393">
        <v>-76.248075</v>
      </c>
    </row>
    <row r="394" spans="2:6">
      <c r="B394">
        <v>97042523057</v>
      </c>
      <c r="C394" t="s">
        <v>1660</v>
      </c>
      <c r="D394" t="s">
        <v>1661</v>
      </c>
      <c r="E394">
        <v>20.158432999999999</v>
      </c>
      <c r="F394">
        <v>-75.185745999999995</v>
      </c>
    </row>
    <row r="395" spans="2:6">
      <c r="B395">
        <v>97071206593</v>
      </c>
      <c r="C395" t="s">
        <v>1662</v>
      </c>
      <c r="D395" t="s">
        <v>1357</v>
      </c>
      <c r="E395">
        <v>23.0653805</v>
      </c>
      <c r="F395">
        <v>-82.334337500000004</v>
      </c>
    </row>
    <row r="396" spans="2:6">
      <c r="B396">
        <v>97082222170</v>
      </c>
      <c r="C396" t="s">
        <v>455</v>
      </c>
      <c r="D396" t="s">
        <v>1038</v>
      </c>
      <c r="E396">
        <v>20.406510999999998</v>
      </c>
      <c r="F396">
        <v>-75.541717000000006</v>
      </c>
    </row>
    <row r="397" spans="2:6">
      <c r="B397">
        <v>97092508552</v>
      </c>
      <c r="C397" t="s">
        <v>701</v>
      </c>
      <c r="D397" t="s">
        <v>895</v>
      </c>
      <c r="E397">
        <v>23.132183000000001</v>
      </c>
      <c r="F397">
        <v>-82.407086000000007</v>
      </c>
    </row>
    <row r="398" spans="2:6">
      <c r="B398">
        <v>98050106492</v>
      </c>
      <c r="C398" t="s">
        <v>106</v>
      </c>
      <c r="D398" t="s">
        <v>870</v>
      </c>
      <c r="E398">
        <v>23.077244</v>
      </c>
      <c r="F398">
        <v>-82.363788</v>
      </c>
    </row>
    <row r="399" spans="2:6">
      <c r="B399">
        <v>98051116785</v>
      </c>
      <c r="C399" t="s">
        <v>1663</v>
      </c>
      <c r="D399" t="s">
        <v>1664</v>
      </c>
      <c r="E399">
        <v>20.923469999999998</v>
      </c>
      <c r="F399">
        <v>-76.867020999999994</v>
      </c>
    </row>
    <row r="400" spans="2:6">
      <c r="B400">
        <v>98070708999</v>
      </c>
      <c r="C400" t="s">
        <v>680</v>
      </c>
      <c r="D400" t="s">
        <v>1102</v>
      </c>
      <c r="E400">
        <v>23.037413999999998</v>
      </c>
      <c r="F400">
        <v>-81.523111</v>
      </c>
    </row>
    <row r="401" spans="2:6">
      <c r="B401">
        <v>98080127925</v>
      </c>
      <c r="C401" t="s">
        <v>302</v>
      </c>
      <c r="D401" t="s">
        <v>1028</v>
      </c>
      <c r="E401">
        <v>20.141120000000001</v>
      </c>
      <c r="F401">
        <v>-75.204744000000005</v>
      </c>
    </row>
    <row r="402" spans="2:6">
      <c r="B402">
        <v>98081610688</v>
      </c>
      <c r="C402" t="s">
        <v>814</v>
      </c>
      <c r="D402" t="s">
        <v>1062</v>
      </c>
      <c r="E402">
        <v>22.879549999999998</v>
      </c>
      <c r="F402">
        <v>-80.390933000000004</v>
      </c>
    </row>
    <row r="403" spans="2:6">
      <c r="B403">
        <v>98082913194</v>
      </c>
      <c r="C403" t="s">
        <v>398</v>
      </c>
      <c r="D403" t="s">
        <v>1068</v>
      </c>
      <c r="E403">
        <v>21.935915999999999</v>
      </c>
      <c r="F403">
        <v>-79.448610000000002</v>
      </c>
    </row>
    <row r="404" spans="2:6">
      <c r="B404">
        <v>98083008120</v>
      </c>
      <c r="C404" t="s">
        <v>670</v>
      </c>
      <c r="D404" t="s">
        <v>894</v>
      </c>
      <c r="E404">
        <v>23.103929999999998</v>
      </c>
      <c r="F404">
        <v>-82.417365000000004</v>
      </c>
    </row>
    <row r="405" spans="2:6">
      <c r="B405">
        <v>98102006675</v>
      </c>
      <c r="C405" t="s">
        <v>1665</v>
      </c>
      <c r="D405" t="s">
        <v>1666</v>
      </c>
      <c r="E405">
        <v>22.995407100000001</v>
      </c>
      <c r="F405">
        <v>-82.356038900000001</v>
      </c>
    </row>
    <row r="406" spans="2:6">
      <c r="B406">
        <v>98111913091</v>
      </c>
      <c r="C406" t="s">
        <v>721</v>
      </c>
      <c r="D406" t="s">
        <v>1667</v>
      </c>
      <c r="E406">
        <v>21.922874</v>
      </c>
      <c r="F406">
        <v>-79.428411999999994</v>
      </c>
    </row>
    <row r="407" spans="2:6">
      <c r="B407">
        <v>98111913091</v>
      </c>
      <c r="C407" t="s">
        <v>721</v>
      </c>
      <c r="D407" t="s">
        <v>1070</v>
      </c>
      <c r="E407">
        <v>21.922882999999999</v>
      </c>
      <c r="F407">
        <v>-79.428405999999995</v>
      </c>
    </row>
    <row r="408" spans="2:6">
      <c r="B408">
        <v>98112102423</v>
      </c>
      <c r="C408" t="s">
        <v>424</v>
      </c>
      <c r="D408" t="s">
        <v>987</v>
      </c>
      <c r="E408">
        <v>22.413544000000002</v>
      </c>
      <c r="F408">
        <v>-83.707365999999993</v>
      </c>
    </row>
    <row r="409" spans="2:6">
      <c r="B409">
        <v>98120110529</v>
      </c>
      <c r="C409" t="s">
        <v>780</v>
      </c>
      <c r="D409" t="s">
        <v>1051</v>
      </c>
      <c r="E409">
        <v>22.384169</v>
      </c>
      <c r="F409">
        <v>-79.958703</v>
      </c>
    </row>
    <row r="410" spans="2:6">
      <c r="B410">
        <v>98121021472</v>
      </c>
      <c r="C410" t="s">
        <v>316</v>
      </c>
      <c r="D410" t="s">
        <v>1027</v>
      </c>
      <c r="E410">
        <v>20.039694000000001</v>
      </c>
      <c r="F410">
        <v>-75.835229999999996</v>
      </c>
    </row>
    <row r="411" spans="2:6">
      <c r="B411">
        <v>99020221475</v>
      </c>
      <c r="C411" t="s">
        <v>1668</v>
      </c>
      <c r="D411" t="s">
        <v>1669</v>
      </c>
      <c r="E411">
        <v>20.030495999999999</v>
      </c>
      <c r="F411">
        <v>-75.798002999999994</v>
      </c>
    </row>
    <row r="412" spans="2:6">
      <c r="B412">
        <v>99020709295</v>
      </c>
      <c r="C412" t="s">
        <v>1670</v>
      </c>
      <c r="D412" t="s">
        <v>1671</v>
      </c>
      <c r="E412">
        <v>22.799854</v>
      </c>
      <c r="F412">
        <v>-80.769569000000004</v>
      </c>
    </row>
    <row r="413" spans="2:6">
      <c r="B413">
        <v>99021107771</v>
      </c>
      <c r="C413" t="s">
        <v>1672</v>
      </c>
      <c r="D413" t="s">
        <v>1357</v>
      </c>
      <c r="E413">
        <v>23.0653805</v>
      </c>
      <c r="F413">
        <v>-82.334337500000004</v>
      </c>
    </row>
    <row r="414" spans="2:6">
      <c r="B414">
        <v>99021919322</v>
      </c>
      <c r="C414" t="s">
        <v>393</v>
      </c>
      <c r="D414" t="s">
        <v>953</v>
      </c>
      <c r="E414">
        <v>20.832884</v>
      </c>
      <c r="F414">
        <v>-75.736881999999994</v>
      </c>
    </row>
    <row r="415" spans="2:6">
      <c r="B415">
        <v>99051310493</v>
      </c>
      <c r="C415" t="s">
        <v>686</v>
      </c>
      <c r="D415" t="s">
        <v>1075</v>
      </c>
      <c r="E415">
        <v>22.407945999999999</v>
      </c>
      <c r="F415">
        <v>-79.999701000000002</v>
      </c>
    </row>
    <row r="416" spans="2:6">
      <c r="B416">
        <v>99051702446</v>
      </c>
      <c r="C416" t="s">
        <v>760</v>
      </c>
      <c r="D416" t="s">
        <v>988</v>
      </c>
      <c r="E416">
        <v>22.425122999999999</v>
      </c>
      <c r="F416">
        <v>-83.682953999999995</v>
      </c>
    </row>
    <row r="417" spans="2:6">
      <c r="B417">
        <v>99052502475</v>
      </c>
      <c r="C417" t="s">
        <v>1673</v>
      </c>
      <c r="D417" t="s">
        <v>1674</v>
      </c>
      <c r="E417">
        <v>22.4304758</v>
      </c>
      <c r="F417">
        <v>-83.594926200000003</v>
      </c>
    </row>
    <row r="418" spans="2:6">
      <c r="B418">
        <v>99081710330</v>
      </c>
      <c r="C418" t="s">
        <v>245</v>
      </c>
      <c r="D418" t="s">
        <v>1073</v>
      </c>
      <c r="E418">
        <v>22.419483</v>
      </c>
      <c r="F418">
        <v>-79.958780000000004</v>
      </c>
    </row>
    <row r="419" spans="2:6">
      <c r="B419">
        <v>99122702494</v>
      </c>
      <c r="C419" t="s">
        <v>285</v>
      </c>
      <c r="D419" t="s">
        <v>991</v>
      </c>
      <c r="E419">
        <v>22.437584000000001</v>
      </c>
      <c r="F419">
        <v>-83.690079999999995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Manifiesto</vt:lpstr>
      <vt:lpstr>CONSOLIDADO</vt:lpstr>
      <vt:lpstr>Hoja6</vt:lpstr>
      <vt:lpstr>Hoja5</vt:lpstr>
      <vt:lpstr>Hoja3</vt:lpstr>
      <vt:lpstr>Hoja1</vt:lpstr>
      <vt:lpstr>Hoja2</vt:lpstr>
      <vt:lpstr>Hoja4</vt:lpstr>
      <vt:lpstr>UBICACIONES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cp:lastPrinted>2025-12-19T23:40:35Z</cp:lastPrinted>
  <dcterms:created xsi:type="dcterms:W3CDTF">2025-12-08T14:02:27Z</dcterms:created>
  <dcterms:modified xsi:type="dcterms:W3CDTF">2026-09-08T00:48:32Z</dcterms:modified>
</cp:coreProperties>
</file>